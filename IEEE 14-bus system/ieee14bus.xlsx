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aufa\"/>
    </mc:Choice>
  </mc:AlternateContent>
  <xr:revisionPtr revIDLastSave="0" documentId="8_{4EBA5B7E-06F8-4772-94EF-1B16364F3811}" xr6:coauthVersionLast="47" xr6:coauthVersionMax="47" xr10:uidLastSave="{00000000-0000-0000-0000-000000000000}"/>
  <bookViews>
    <workbookView xWindow="11424" yWindow="0" windowWidth="11712" windowHeight="12336" firstSheet="1" activeTab="1" xr2:uid="{57AE9C7F-5BC3-4F84-B91D-49FB34413C8A}"/>
  </bookViews>
  <sheets>
    <sheet name="bus" sheetId="1" r:id="rId1"/>
    <sheet name="gen" sheetId="2" r:id="rId2"/>
    <sheet name="trafo" sheetId="3" r:id="rId3"/>
    <sheet name="line" sheetId="4" r:id="rId4"/>
    <sheet name="load" sheetId="5" r:id="rId5"/>
    <sheet name="grid" sheetId="6" r:id="rId6"/>
    <sheet name="shun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7" l="1"/>
  <c r="H9" i="4"/>
  <c r="H8" i="4"/>
  <c r="H7" i="4"/>
  <c r="H6" i="4"/>
  <c r="H5" i="4"/>
  <c r="H4" i="4"/>
  <c r="H3" i="4"/>
  <c r="H2" i="4"/>
  <c r="I6" i="3"/>
  <c r="I5" i="3"/>
  <c r="I4" i="3"/>
  <c r="I3" i="3"/>
  <c r="I2" i="3"/>
</calcChain>
</file>

<file path=xl/sharedStrings.xml><?xml version="1.0" encoding="utf-8"?>
<sst xmlns="http://schemas.openxmlformats.org/spreadsheetml/2006/main" count="186" uniqueCount="103">
  <si>
    <t>name</t>
  </si>
  <si>
    <t>no</t>
  </si>
  <si>
    <t>vn_kv</t>
  </si>
  <si>
    <t>type</t>
  </si>
  <si>
    <t>in_service</t>
  </si>
  <si>
    <t>min_vm_pu</t>
  </si>
  <si>
    <t>max_vm_pu</t>
  </si>
  <si>
    <t>bus2</t>
  </si>
  <si>
    <t>bus1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</si>
  <si>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</si>
  <si>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</si>
  <si>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</si>
  <si>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</si>
  <si>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</si>
  <si>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</si>
  <si>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</si>
  <si>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</si>
  <si>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</si>
  <si>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</si>
  <si>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</si>
  <si>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</si>
  <si>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</t>
  </si>
  <si>
    <t>bus</t>
  </si>
  <si>
    <t>p_mw</t>
  </si>
  <si>
    <t>vm_pu</t>
  </si>
  <si>
    <t>sn_mva</t>
  </si>
  <si>
    <t>min_q_mvar</t>
  </si>
  <si>
    <t>max_q_mvar</t>
  </si>
  <si>
    <t>controllable</t>
  </si>
  <si>
    <t>min_p_mw</t>
  </si>
  <si>
    <t>max_p_mw</t>
  </si>
  <si>
    <t>gen2</t>
  </si>
  <si>
    <t>gen3</t>
  </si>
  <si>
    <t>gen4</t>
  </si>
  <si>
    <t>gen5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</si>
  <si>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</si>
  <si>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</si>
  <si>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</si>
  <si>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</si>
  <si>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</si>
  <si>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</si>
  <si>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</si>
  <si>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</si>
  <si>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vector_group</t>
  </si>
  <si>
    <t>vk0_percent</t>
  </si>
  <si>
    <t>shift_degree</t>
  </si>
  <si>
    <t>tap_side</t>
  </si>
  <si>
    <t>tap_neutral</t>
  </si>
  <si>
    <t>tap_max</t>
  </si>
  <si>
    <t>tap_min</t>
  </si>
  <si>
    <t>tap_step_percent</t>
  </si>
  <si>
    <t>max_loading_percent</t>
  </si>
  <si>
    <t>trafo1</t>
  </si>
  <si>
    <t>trafo2</t>
  </si>
  <si>
    <t>trafo3</t>
  </si>
  <si>
    <t>trafo4</t>
  </si>
  <si>
    <t>trafo5</t>
  </si>
  <si>
    <t>hv</t>
  </si>
  <si>
    <t>from_bus</t>
  </si>
  <si>
    <t>to_bus</t>
  </si>
  <si>
    <t>length_km</t>
  </si>
  <si>
    <t>r_ohm_per_km</t>
  </si>
  <si>
    <t>x_ohm_per_km</t>
  </si>
  <si>
    <t>c_nf_per_km</t>
  </si>
  <si>
    <t>max_i_ka</t>
  </si>
  <si>
    <t>line1-2/1</t>
  </si>
  <si>
    <t>line1-2/2</t>
  </si>
  <si>
    <t>line1-5</t>
  </si>
  <si>
    <t>line2-3</t>
  </si>
  <si>
    <t>line2-4</t>
  </si>
  <si>
    <t>line2-5</t>
  </si>
  <si>
    <t>line3-4</t>
  </si>
  <si>
    <t>line4-5</t>
  </si>
  <si>
    <t>line6-11</t>
  </si>
  <si>
    <t>line6-12</t>
  </si>
  <si>
    <t>line6-13</t>
  </si>
  <si>
    <t>line9-10</t>
  </si>
  <si>
    <t>line9-14</t>
  </si>
  <si>
    <t>line10-11</t>
  </si>
  <si>
    <t>line12-13</t>
  </si>
  <si>
    <t>line13-14</t>
  </si>
  <si>
    <t>ol</t>
  </si>
  <si>
    <t>q_mvar</t>
  </si>
  <si>
    <t>load2</t>
  </si>
  <si>
    <t>load3</t>
  </si>
  <si>
    <t>load4</t>
  </si>
  <si>
    <t>load5</t>
  </si>
  <si>
    <t>load6</t>
  </si>
  <si>
    <t>load9</t>
  </si>
  <si>
    <t>load10</t>
  </si>
  <si>
    <t>load11</t>
  </si>
  <si>
    <t>load12</t>
  </si>
  <si>
    <t>load13</t>
  </si>
  <si>
    <t>load14</t>
  </si>
  <si>
    <t>wye</t>
  </si>
  <si>
    <t>load7</t>
  </si>
  <si>
    <t>load8</t>
  </si>
  <si>
    <t>va_degree</t>
  </si>
  <si>
    <t>grid</t>
  </si>
  <si>
    <t>Ynyn</t>
  </si>
  <si>
    <t>cap1</t>
  </si>
  <si>
    <t>step</t>
  </si>
  <si>
    <t>max_step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</si>
</sst>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B3BC-2E6F-4B91-8DFB-829546BECCA3}">
  <sheetPr codeName="Sheet1"/>
  <dimension ref="A1:G15"/>
  <sheetViews>
    <sheetView workbookViewId="0">
      <selection activeCell="D9" sqref="D9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8</v>
      </c>
      <c r="C2">
        <v>132</v>
      </c>
      <c r="D2" t="s">
        <v>21</v>
      </c>
      <c r="E2" t="b">
        <v>1</v>
      </c>
      <c r="F2">
        <v>0.9</v>
      </c>
      <c r="G2">
        <v>1.1000000000000001</v>
      </c>
    </row>
    <row r="3" spans="1:7" x14ac:dyDescent="0.3">
      <c r="A3">
        <v>2</v>
      </c>
      <c r="B3" t="s">
        <v>7</v>
      </c>
      <c r="C3">
        <v>132</v>
      </c>
      <c r="D3" t="s">
        <v>21</v>
      </c>
      <c r="E3" t="b">
        <v>1</v>
      </c>
      <c r="F3">
        <v>0.9</v>
      </c>
      <c r="G3">
        <v>1.1000000000000001</v>
      </c>
    </row>
    <row r="4" spans="1:7" x14ac:dyDescent="0.3">
      <c r="A4">
        <v>3</v>
      </c>
      <c r="B4" t="s">
        <v>9</v>
      </c>
      <c r="C4">
        <v>132</v>
      </c>
      <c r="D4" t="s">
        <v>21</v>
      </c>
      <c r="E4" t="b">
        <v>1</v>
      </c>
      <c r="F4">
        <v>0.9</v>
      </c>
      <c r="G4">
        <v>1.1000000000000001</v>
      </c>
    </row>
    <row r="5" spans="1:7" x14ac:dyDescent="0.3">
      <c r="A5">
        <v>4</v>
      </c>
      <c r="B5" t="s">
        <v>10</v>
      </c>
      <c r="C5">
        <v>132</v>
      </c>
      <c r="D5" t="s">
        <v>21</v>
      </c>
      <c r="E5" t="b">
        <v>1</v>
      </c>
      <c r="F5">
        <v>0.9</v>
      </c>
      <c r="G5">
        <v>1.1000000000000001</v>
      </c>
    </row>
    <row r="6" spans="1:7" x14ac:dyDescent="0.3">
      <c r="A6">
        <v>5</v>
      </c>
      <c r="B6" t="s">
        <v>11</v>
      </c>
      <c r="C6">
        <v>132</v>
      </c>
      <c r="D6" t="s">
        <v>21</v>
      </c>
      <c r="E6" t="b">
        <v>1</v>
      </c>
      <c r="F6">
        <v>0.9</v>
      </c>
      <c r="G6">
        <v>1.1000000000000001</v>
      </c>
    </row>
    <row r="7" spans="1:7" x14ac:dyDescent="0.3">
      <c r="A7">
        <v>6</v>
      </c>
      <c r="B7" t="s">
        <v>12</v>
      </c>
      <c r="C7">
        <v>33</v>
      </c>
      <c r="D7" t="s">
        <v>21</v>
      </c>
      <c r="E7" t="b">
        <v>1</v>
      </c>
      <c r="F7">
        <v>0.9</v>
      </c>
      <c r="G7">
        <v>1.1000000000000001</v>
      </c>
    </row>
    <row r="8" spans="1:7" x14ac:dyDescent="0.3">
      <c r="A8">
        <v>7</v>
      </c>
      <c r="B8" t="s">
        <v>13</v>
      </c>
      <c r="C8">
        <v>1</v>
      </c>
      <c r="D8" t="s">
        <v>21</v>
      </c>
      <c r="E8" t="b">
        <v>1</v>
      </c>
      <c r="F8">
        <v>0.9</v>
      </c>
      <c r="G8">
        <v>1.1000000000000001</v>
      </c>
    </row>
    <row r="9" spans="1:7" x14ac:dyDescent="0.3">
      <c r="A9">
        <v>8</v>
      </c>
      <c r="B9" t="s">
        <v>14</v>
      </c>
      <c r="C9">
        <v>11</v>
      </c>
      <c r="D9" t="s">
        <v>21</v>
      </c>
      <c r="E9" t="b">
        <v>1</v>
      </c>
      <c r="F9">
        <v>0.9</v>
      </c>
      <c r="G9">
        <v>1.1000000000000001</v>
      </c>
    </row>
    <row r="10" spans="1:7" x14ac:dyDescent="0.3">
      <c r="A10">
        <v>9</v>
      </c>
      <c r="B10" t="s">
        <v>15</v>
      </c>
      <c r="C10">
        <v>33</v>
      </c>
      <c r="D10" t="s">
        <v>21</v>
      </c>
      <c r="E10" t="b">
        <v>1</v>
      </c>
      <c r="F10">
        <v>0.9</v>
      </c>
      <c r="G10">
        <v>1.1000000000000001</v>
      </c>
    </row>
    <row r="11" spans="1:7" x14ac:dyDescent="0.3">
      <c r="A11">
        <v>10</v>
      </c>
      <c r="B11" t="s">
        <v>16</v>
      </c>
      <c r="C11">
        <v>33</v>
      </c>
      <c r="D11" t="s">
        <v>21</v>
      </c>
      <c r="E11" t="b">
        <v>1</v>
      </c>
      <c r="F11">
        <v>0.9</v>
      </c>
      <c r="G11">
        <v>1.1000000000000001</v>
      </c>
    </row>
    <row r="12" spans="1:7" x14ac:dyDescent="0.3">
      <c r="A12">
        <v>11</v>
      </c>
      <c r="B12" t="s">
        <v>17</v>
      </c>
      <c r="C12">
        <v>33</v>
      </c>
      <c r="D12" t="s">
        <v>21</v>
      </c>
      <c r="E12" t="b">
        <v>1</v>
      </c>
      <c r="F12">
        <v>0.9</v>
      </c>
      <c r="G12">
        <v>1.1000000000000001</v>
      </c>
    </row>
    <row r="13" spans="1:7" x14ac:dyDescent="0.3">
      <c r="A13">
        <v>12</v>
      </c>
      <c r="B13" t="s">
        <v>18</v>
      </c>
      <c r="C13">
        <v>33</v>
      </c>
      <c r="D13" t="s">
        <v>21</v>
      </c>
      <c r="E13" t="b">
        <v>1</v>
      </c>
      <c r="F13">
        <v>0.9</v>
      </c>
      <c r="G13">
        <v>1.1000000000000001</v>
      </c>
    </row>
    <row r="14" spans="1:7" x14ac:dyDescent="0.3">
      <c r="A14">
        <v>13</v>
      </c>
      <c r="B14" t="s">
        <v>19</v>
      </c>
      <c r="C14">
        <v>33</v>
      </c>
      <c r="D14" t="s">
        <v>21</v>
      </c>
      <c r="E14" t="b">
        <v>1</v>
      </c>
      <c r="F14">
        <v>0.9</v>
      </c>
      <c r="G14">
        <v>1.1000000000000001</v>
      </c>
    </row>
    <row r="15" spans="1:7" x14ac:dyDescent="0.3">
      <c r="A15">
        <v>14</v>
      </c>
      <c r="B15" t="s">
        <v>20</v>
      </c>
      <c r="C15">
        <v>33</v>
      </c>
      <c r="D15" t="s">
        <v>21</v>
      </c>
      <c r="E15" t="b">
        <v>1</v>
      </c>
      <c r="F15">
        <v>0.9</v>
      </c>
      <c r="G15">
        <v>1.1000000000000001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2DB0-DFD3-46D0-9BDC-A3F7795D0671}">
  <sheetPr codeName="Sheet2"/>
  <dimension ref="A1:L5"/>
  <sheetViews>
    <sheetView tabSelected="1" workbookViewId="0">
      <selection activeCell="E14" sqref="E14"/>
    </sheetView>
  </sheetViews>
  <sheetFormatPr defaultRowHeight="14.4" x14ac:dyDescent="0.3"/>
  <sheetData>
    <row r="1" spans="1:12" x14ac:dyDescent="0.3">
      <c r="A1" t="s">
        <v>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4</v>
      </c>
      <c r="K1" t="s">
        <v>29</v>
      </c>
      <c r="L1" t="s">
        <v>30</v>
      </c>
    </row>
    <row r="2" spans="1:12" x14ac:dyDescent="0.3">
      <c r="A2">
        <v>1</v>
      </c>
      <c r="B2" t="s">
        <v>31</v>
      </c>
      <c r="C2">
        <v>1</v>
      </c>
      <c r="D2">
        <v>40</v>
      </c>
      <c r="E2" s="1">
        <v>1.0449999999999999</v>
      </c>
      <c r="F2">
        <v>100</v>
      </c>
      <c r="G2">
        <v>-40</v>
      </c>
      <c r="H2">
        <v>50</v>
      </c>
      <c r="I2" t="b">
        <v>0</v>
      </c>
      <c r="J2" t="b">
        <v>1</v>
      </c>
      <c r="K2">
        <v>0</v>
      </c>
      <c r="L2">
        <v>80</v>
      </c>
    </row>
    <row r="3" spans="1:12" x14ac:dyDescent="0.3">
      <c r="A3">
        <v>2</v>
      </c>
      <c r="B3" t="s">
        <v>32</v>
      </c>
      <c r="C3">
        <v>2</v>
      </c>
      <c r="D3">
        <v>0</v>
      </c>
      <c r="E3" s="1">
        <v>1.01</v>
      </c>
      <c r="F3">
        <v>100</v>
      </c>
      <c r="G3">
        <v>0</v>
      </c>
      <c r="H3">
        <v>40</v>
      </c>
      <c r="I3" t="b">
        <v>0</v>
      </c>
      <c r="J3" t="b">
        <v>1</v>
      </c>
      <c r="K3">
        <v>-1</v>
      </c>
      <c r="L3">
        <v>1</v>
      </c>
    </row>
    <row r="4" spans="1:12" x14ac:dyDescent="0.3">
      <c r="A4">
        <v>3</v>
      </c>
      <c r="B4" t="s">
        <v>33</v>
      </c>
      <c r="C4">
        <v>5</v>
      </c>
      <c r="D4">
        <v>0</v>
      </c>
      <c r="E4" s="1">
        <v>1.07</v>
      </c>
      <c r="F4">
        <v>100</v>
      </c>
      <c r="G4">
        <v>-6</v>
      </c>
      <c r="H4">
        <v>24</v>
      </c>
      <c r="I4" t="b">
        <v>0</v>
      </c>
      <c r="J4" t="b">
        <v>1</v>
      </c>
      <c r="K4">
        <v>-1</v>
      </c>
      <c r="L4">
        <v>1</v>
      </c>
    </row>
    <row r="5" spans="1:12" x14ac:dyDescent="0.3">
      <c r="A5">
        <v>4</v>
      </c>
      <c r="B5" t="s">
        <v>34</v>
      </c>
      <c r="C5">
        <v>7</v>
      </c>
      <c r="D5">
        <v>0</v>
      </c>
      <c r="E5" s="1">
        <v>1.0900000000000001</v>
      </c>
      <c r="F5">
        <v>100</v>
      </c>
      <c r="G5">
        <v>-6</v>
      </c>
      <c r="H5">
        <v>24</v>
      </c>
      <c r="I5" t="b">
        <v>0</v>
      </c>
      <c r="J5" t="b">
        <v>1</v>
      </c>
      <c r="K5">
        <v>-1</v>
      </c>
      <c r="L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C3CD-99F0-4130-8FA4-966E87A61D33}">
  <sheetPr codeName="Sheet3"/>
  <dimension ref="A1:U6"/>
  <sheetViews>
    <sheetView workbookViewId="0">
      <selection activeCell="A6" sqref="A6"/>
    </sheetView>
  </sheetViews>
  <sheetFormatPr defaultRowHeight="14.4" x14ac:dyDescent="0.3"/>
  <sheetData>
    <row r="1" spans="1:21" x14ac:dyDescent="0.3">
      <c r="A1" t="s">
        <v>1</v>
      </c>
      <c r="B1" t="s">
        <v>0</v>
      </c>
      <c r="C1" t="s">
        <v>35</v>
      </c>
      <c r="D1" t="s">
        <v>36</v>
      </c>
      <c r="E1" t="s">
        <v>25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x14ac:dyDescent="0.3">
      <c r="A2">
        <v>1</v>
      </c>
      <c r="B2" t="s">
        <v>52</v>
      </c>
      <c r="C2">
        <v>3</v>
      </c>
      <c r="D2">
        <v>6</v>
      </c>
      <c r="E2">
        <v>100</v>
      </c>
      <c r="F2">
        <v>132</v>
      </c>
      <c r="G2">
        <v>1</v>
      </c>
      <c r="H2">
        <v>20.911999999999999</v>
      </c>
      <c r="I2">
        <f>H2/100</f>
        <v>0.20912</v>
      </c>
      <c r="J2">
        <v>0</v>
      </c>
      <c r="K2">
        <v>2</v>
      </c>
      <c r="L2" t="s">
        <v>99</v>
      </c>
      <c r="M2">
        <v>3</v>
      </c>
      <c r="N2" t="b">
        <v>1</v>
      </c>
      <c r="O2">
        <v>0</v>
      </c>
      <c r="P2" t="s">
        <v>57</v>
      </c>
      <c r="Q2">
        <v>0</v>
      </c>
      <c r="R2">
        <v>1</v>
      </c>
      <c r="S2">
        <v>-1</v>
      </c>
      <c r="T2">
        <v>2.2000000000000002</v>
      </c>
      <c r="U2">
        <v>100</v>
      </c>
    </row>
    <row r="3" spans="1:21" x14ac:dyDescent="0.3">
      <c r="A3">
        <v>2</v>
      </c>
      <c r="B3" t="s">
        <v>53</v>
      </c>
      <c r="C3">
        <v>3</v>
      </c>
      <c r="D3">
        <v>8</v>
      </c>
      <c r="E3">
        <v>100</v>
      </c>
      <c r="F3">
        <v>132</v>
      </c>
      <c r="G3">
        <v>33</v>
      </c>
      <c r="H3">
        <v>55.618000000000002</v>
      </c>
      <c r="I3">
        <f>H3/100</f>
        <v>0.55618000000000001</v>
      </c>
      <c r="J3">
        <v>0</v>
      </c>
      <c r="K3">
        <v>2</v>
      </c>
      <c r="L3" t="s">
        <v>99</v>
      </c>
      <c r="M3">
        <v>3</v>
      </c>
      <c r="N3" t="b">
        <v>1</v>
      </c>
      <c r="O3">
        <v>0</v>
      </c>
      <c r="P3" t="s">
        <v>57</v>
      </c>
      <c r="Q3">
        <v>0</v>
      </c>
      <c r="R3">
        <v>1</v>
      </c>
      <c r="S3">
        <v>-1</v>
      </c>
      <c r="T3">
        <v>3.1</v>
      </c>
      <c r="U3">
        <v>100</v>
      </c>
    </row>
    <row r="4" spans="1:21" x14ac:dyDescent="0.3">
      <c r="A4">
        <v>3</v>
      </c>
      <c r="B4" t="s">
        <v>54</v>
      </c>
      <c r="C4">
        <v>4</v>
      </c>
      <c r="D4">
        <v>5</v>
      </c>
      <c r="E4">
        <v>100</v>
      </c>
      <c r="F4">
        <v>132</v>
      </c>
      <c r="G4">
        <v>33</v>
      </c>
      <c r="H4">
        <v>25.202000000000002</v>
      </c>
      <c r="I4">
        <f>H4/100</f>
        <v>0.25202000000000002</v>
      </c>
      <c r="J4">
        <v>0</v>
      </c>
      <c r="K4">
        <v>2</v>
      </c>
      <c r="L4" t="s">
        <v>99</v>
      </c>
      <c r="M4">
        <v>3</v>
      </c>
      <c r="N4" t="b">
        <v>1</v>
      </c>
      <c r="O4">
        <v>0</v>
      </c>
      <c r="P4" t="s">
        <v>57</v>
      </c>
      <c r="Q4">
        <v>0</v>
      </c>
      <c r="R4">
        <v>1</v>
      </c>
      <c r="S4">
        <v>-1</v>
      </c>
      <c r="T4">
        <v>6.8</v>
      </c>
      <c r="U4">
        <v>100</v>
      </c>
    </row>
    <row r="5" spans="1:21" x14ac:dyDescent="0.3">
      <c r="A5">
        <v>4</v>
      </c>
      <c r="B5" t="s">
        <v>55</v>
      </c>
      <c r="C5">
        <v>7</v>
      </c>
      <c r="D5">
        <v>6</v>
      </c>
      <c r="E5">
        <v>100</v>
      </c>
      <c r="F5">
        <v>11</v>
      </c>
      <c r="G5">
        <v>1</v>
      </c>
      <c r="H5">
        <v>17.614999999999998</v>
      </c>
      <c r="I5">
        <f>H5/100</f>
        <v>0.17614999999999997</v>
      </c>
      <c r="J5">
        <v>0</v>
      </c>
      <c r="K5">
        <v>2</v>
      </c>
      <c r="L5" t="s">
        <v>99</v>
      </c>
      <c r="M5">
        <v>3</v>
      </c>
      <c r="N5" t="b">
        <v>1</v>
      </c>
      <c r="O5">
        <v>0</v>
      </c>
      <c r="P5" t="s">
        <v>57</v>
      </c>
      <c r="Q5">
        <v>0</v>
      </c>
      <c r="R5">
        <v>1</v>
      </c>
      <c r="S5">
        <v>-1</v>
      </c>
      <c r="T5">
        <v>100</v>
      </c>
      <c r="U5">
        <v>100</v>
      </c>
    </row>
    <row r="6" spans="1:21" x14ac:dyDescent="0.3">
      <c r="A6">
        <v>5</v>
      </c>
      <c r="B6" t="s">
        <v>56</v>
      </c>
      <c r="C6">
        <v>8</v>
      </c>
      <c r="D6">
        <v>6</v>
      </c>
      <c r="E6">
        <v>100</v>
      </c>
      <c r="F6">
        <v>33</v>
      </c>
      <c r="G6">
        <v>1</v>
      </c>
      <c r="H6">
        <v>11.000999999999999</v>
      </c>
      <c r="I6">
        <f>H6/100</f>
        <v>0.11001</v>
      </c>
      <c r="J6">
        <v>0</v>
      </c>
      <c r="K6">
        <v>2</v>
      </c>
      <c r="L6" t="s">
        <v>99</v>
      </c>
      <c r="M6">
        <v>3</v>
      </c>
      <c r="N6" t="b">
        <v>1</v>
      </c>
      <c r="O6">
        <v>0</v>
      </c>
      <c r="P6" t="s">
        <v>57</v>
      </c>
      <c r="Q6">
        <v>0</v>
      </c>
      <c r="R6">
        <v>1</v>
      </c>
      <c r="S6">
        <v>-1</v>
      </c>
      <c r="T6">
        <v>100</v>
      </c>
      <c r="U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2559-8291-4868-B7B9-D60B65643B5D}">
  <dimension ref="A1:L17"/>
  <sheetViews>
    <sheetView workbookViewId="0">
      <selection activeCell="H2" sqref="H2"/>
    </sheetView>
  </sheetViews>
  <sheetFormatPr defaultRowHeight="14.4" x14ac:dyDescent="0.3"/>
  <sheetData>
    <row r="1" spans="1:12" x14ac:dyDescent="0.3">
      <c r="A1" t="s">
        <v>1</v>
      </c>
      <c r="B1" t="s">
        <v>0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4</v>
      </c>
      <c r="K1" t="s">
        <v>3</v>
      </c>
      <c r="L1" t="s">
        <v>51</v>
      </c>
    </row>
    <row r="2" spans="1:12" x14ac:dyDescent="0.3">
      <c r="A2">
        <v>1</v>
      </c>
      <c r="B2" t="s">
        <v>65</v>
      </c>
      <c r="C2">
        <v>0</v>
      </c>
      <c r="D2">
        <v>1</v>
      </c>
      <c r="E2">
        <v>1</v>
      </c>
      <c r="F2">
        <v>6.7530000000000001</v>
      </c>
      <c r="G2">
        <v>20.62</v>
      </c>
      <c r="H2">
        <f>1000*151.5152/(2*PI()*60)</f>
        <v>401.90655055928568</v>
      </c>
      <c r="I2">
        <v>1</v>
      </c>
      <c r="J2" t="b">
        <v>1</v>
      </c>
      <c r="K2" t="s">
        <v>81</v>
      </c>
      <c r="L2">
        <v>100</v>
      </c>
    </row>
    <row r="3" spans="1:12" x14ac:dyDescent="0.3">
      <c r="A3">
        <v>2</v>
      </c>
      <c r="B3" t="s">
        <v>66</v>
      </c>
      <c r="C3">
        <v>0</v>
      </c>
      <c r="D3">
        <v>1</v>
      </c>
      <c r="E3">
        <v>1</v>
      </c>
      <c r="F3">
        <v>6.7530000000000001</v>
      </c>
      <c r="G3">
        <v>20.62</v>
      </c>
      <c r="H3">
        <f>1000*151.5152/(2*PI()*60)</f>
        <v>401.90655055928568</v>
      </c>
      <c r="I3">
        <v>1</v>
      </c>
      <c r="J3" t="b">
        <v>1</v>
      </c>
      <c r="K3" t="s">
        <v>81</v>
      </c>
      <c r="L3">
        <v>100</v>
      </c>
    </row>
    <row r="4" spans="1:12" x14ac:dyDescent="0.3">
      <c r="A4">
        <v>3</v>
      </c>
      <c r="B4" t="s">
        <v>67</v>
      </c>
      <c r="C4">
        <v>0</v>
      </c>
      <c r="D4">
        <v>4</v>
      </c>
      <c r="E4">
        <v>1</v>
      </c>
      <c r="F4">
        <v>9.4139999999999997</v>
      </c>
      <c r="G4">
        <v>38.862000000000002</v>
      </c>
      <c r="H4">
        <f>1000*282.3691/(2*PI()*60)</f>
        <v>749.00730069016174</v>
      </c>
      <c r="I4">
        <v>1</v>
      </c>
      <c r="J4" t="b">
        <v>1</v>
      </c>
      <c r="K4" t="s">
        <v>81</v>
      </c>
      <c r="L4">
        <v>100</v>
      </c>
    </row>
    <row r="5" spans="1:12" x14ac:dyDescent="0.3">
      <c r="A5">
        <v>4</v>
      </c>
      <c r="B5" t="s">
        <v>68</v>
      </c>
      <c r="C5">
        <v>1</v>
      </c>
      <c r="D5">
        <v>2</v>
      </c>
      <c r="E5">
        <v>1</v>
      </c>
      <c r="F5">
        <v>8.1880000000000006</v>
      </c>
      <c r="G5">
        <v>34.494</v>
      </c>
      <c r="H5">
        <f>1000*251.3774/(2*PI()*60)</f>
        <v>666.79926319314359</v>
      </c>
      <c r="I5">
        <v>1</v>
      </c>
      <c r="J5" t="b">
        <v>1</v>
      </c>
      <c r="K5" t="s">
        <v>81</v>
      </c>
      <c r="L5">
        <v>100</v>
      </c>
    </row>
    <row r="6" spans="1:12" x14ac:dyDescent="0.3">
      <c r="A6">
        <v>5</v>
      </c>
      <c r="B6" t="s">
        <v>69</v>
      </c>
      <c r="C6">
        <v>1</v>
      </c>
      <c r="D6">
        <v>3</v>
      </c>
      <c r="E6">
        <v>1</v>
      </c>
      <c r="F6">
        <v>10.125</v>
      </c>
      <c r="G6">
        <v>30.722000000000001</v>
      </c>
      <c r="H6">
        <f>1000*214.6465/(2*PI()*60)</f>
        <v>569.36752487290858</v>
      </c>
      <c r="I6">
        <v>1</v>
      </c>
      <c r="J6" t="b">
        <v>1</v>
      </c>
      <c r="K6" t="s">
        <v>81</v>
      </c>
      <c r="L6">
        <v>100</v>
      </c>
    </row>
    <row r="7" spans="1:12" x14ac:dyDescent="0.3">
      <c r="A7">
        <v>6</v>
      </c>
      <c r="B7" t="s">
        <v>70</v>
      </c>
      <c r="C7">
        <v>1</v>
      </c>
      <c r="D7">
        <v>4</v>
      </c>
      <c r="E7">
        <v>1</v>
      </c>
      <c r="F7">
        <v>9.923</v>
      </c>
      <c r="G7">
        <v>30.297000000000001</v>
      </c>
      <c r="H7">
        <f>1000*195.1331/(2*PI()*60)</f>
        <v>517.60662376408538</v>
      </c>
      <c r="I7">
        <v>1</v>
      </c>
      <c r="J7" t="b">
        <v>1</v>
      </c>
      <c r="K7" t="s">
        <v>81</v>
      </c>
      <c r="L7">
        <v>100</v>
      </c>
    </row>
    <row r="8" spans="1:12" x14ac:dyDescent="0.3">
      <c r="A8">
        <v>7</v>
      </c>
      <c r="B8" t="s">
        <v>71</v>
      </c>
      <c r="C8">
        <v>2</v>
      </c>
      <c r="D8">
        <v>3</v>
      </c>
      <c r="E8">
        <v>1</v>
      </c>
      <c r="F8">
        <v>11.676</v>
      </c>
      <c r="G8">
        <v>29.8</v>
      </c>
      <c r="H8">
        <f>1000*198.5767/(2*PI()*60)</f>
        <v>526.74105646460623</v>
      </c>
      <c r="I8">
        <v>1</v>
      </c>
      <c r="J8" t="b">
        <v>1</v>
      </c>
      <c r="K8" t="s">
        <v>81</v>
      </c>
      <c r="L8">
        <v>100</v>
      </c>
    </row>
    <row r="9" spans="1:12" x14ac:dyDescent="0.3">
      <c r="A9">
        <v>8</v>
      </c>
      <c r="B9" t="s">
        <v>72</v>
      </c>
      <c r="C9">
        <v>3</v>
      </c>
      <c r="D9">
        <v>4</v>
      </c>
      <c r="E9">
        <v>1</v>
      </c>
      <c r="F9">
        <v>2.3260000000000001</v>
      </c>
      <c r="G9">
        <v>7.3369999999999997</v>
      </c>
      <c r="H9">
        <f>1000*73.4619/(2*PI()*60)</f>
        <v>194.86374189870844</v>
      </c>
      <c r="I9">
        <v>1</v>
      </c>
      <c r="J9" t="b">
        <v>1</v>
      </c>
      <c r="K9" t="s">
        <v>81</v>
      </c>
      <c r="L9">
        <v>100</v>
      </c>
    </row>
    <row r="10" spans="1:12" x14ac:dyDescent="0.3">
      <c r="A10">
        <v>9</v>
      </c>
      <c r="B10" t="s">
        <v>73</v>
      </c>
      <c r="C10">
        <v>5</v>
      </c>
      <c r="D10">
        <v>10</v>
      </c>
      <c r="E10">
        <v>1</v>
      </c>
      <c r="F10">
        <v>1.034</v>
      </c>
      <c r="G10">
        <v>2.1659999999999999</v>
      </c>
      <c r="H10">
        <v>0</v>
      </c>
      <c r="I10">
        <v>1</v>
      </c>
      <c r="J10" t="b">
        <v>1</v>
      </c>
      <c r="K10" t="s">
        <v>81</v>
      </c>
      <c r="L10">
        <v>100</v>
      </c>
    </row>
    <row r="11" spans="1:12" x14ac:dyDescent="0.3">
      <c r="A11">
        <v>10</v>
      </c>
      <c r="B11" t="s">
        <v>74</v>
      </c>
      <c r="C11">
        <v>5</v>
      </c>
      <c r="D11">
        <v>11</v>
      </c>
      <c r="E11">
        <v>1</v>
      </c>
      <c r="F11">
        <v>1.3380000000000001</v>
      </c>
      <c r="G11">
        <v>2.786</v>
      </c>
      <c r="H11">
        <v>0</v>
      </c>
      <c r="I11">
        <v>1</v>
      </c>
      <c r="J11" t="b">
        <v>1</v>
      </c>
      <c r="K11" t="s">
        <v>81</v>
      </c>
      <c r="L11">
        <v>100</v>
      </c>
    </row>
    <row r="12" spans="1:12" x14ac:dyDescent="0.3">
      <c r="A12">
        <v>11</v>
      </c>
      <c r="B12" t="s">
        <v>75</v>
      </c>
      <c r="C12">
        <v>5</v>
      </c>
      <c r="D12">
        <v>12</v>
      </c>
      <c r="E12">
        <v>1</v>
      </c>
      <c r="F12">
        <v>0.72</v>
      </c>
      <c r="G12">
        <v>1.419</v>
      </c>
      <c r="H12">
        <v>0</v>
      </c>
      <c r="I12">
        <v>1</v>
      </c>
      <c r="J12" t="b">
        <v>1</v>
      </c>
      <c r="K12" t="s">
        <v>81</v>
      </c>
      <c r="L12">
        <v>100</v>
      </c>
    </row>
    <row r="13" spans="1:12" x14ac:dyDescent="0.3">
      <c r="A13">
        <v>12</v>
      </c>
      <c r="B13" t="s">
        <v>76</v>
      </c>
      <c r="C13">
        <v>8</v>
      </c>
      <c r="D13">
        <v>9</v>
      </c>
      <c r="E13">
        <v>1</v>
      </c>
      <c r="F13">
        <v>0.34599999999999997</v>
      </c>
      <c r="G13">
        <v>0.92</v>
      </c>
      <c r="H13">
        <v>0</v>
      </c>
      <c r="I13">
        <v>1</v>
      </c>
      <c r="J13" t="b">
        <v>1</v>
      </c>
      <c r="K13" t="s">
        <v>81</v>
      </c>
      <c r="L13">
        <v>100</v>
      </c>
    </row>
    <row r="14" spans="1:12" x14ac:dyDescent="0.3">
      <c r="A14">
        <v>13</v>
      </c>
      <c r="B14" t="s">
        <v>77</v>
      </c>
      <c r="C14">
        <v>8</v>
      </c>
      <c r="D14">
        <v>13</v>
      </c>
      <c r="E14">
        <v>1</v>
      </c>
      <c r="F14">
        <v>1.3839999999999999</v>
      </c>
      <c r="G14">
        <v>2.944</v>
      </c>
      <c r="H14">
        <v>0</v>
      </c>
      <c r="I14">
        <v>1</v>
      </c>
      <c r="J14" t="b">
        <v>1</v>
      </c>
      <c r="K14" t="s">
        <v>81</v>
      </c>
      <c r="L14">
        <v>100</v>
      </c>
    </row>
    <row r="15" spans="1:12" x14ac:dyDescent="0.3">
      <c r="A15">
        <v>14</v>
      </c>
      <c r="B15" t="s">
        <v>78</v>
      </c>
      <c r="C15">
        <v>9</v>
      </c>
      <c r="D15">
        <v>10</v>
      </c>
      <c r="E15">
        <v>1</v>
      </c>
      <c r="F15">
        <v>0.89300000000000002</v>
      </c>
      <c r="G15">
        <v>2.0920000000000001</v>
      </c>
      <c r="H15">
        <v>0</v>
      </c>
      <c r="I15">
        <v>1</v>
      </c>
      <c r="J15" t="b">
        <v>1</v>
      </c>
      <c r="K15" t="s">
        <v>81</v>
      </c>
      <c r="L15">
        <v>100</v>
      </c>
    </row>
    <row r="16" spans="1:12" x14ac:dyDescent="0.3">
      <c r="A16">
        <v>15</v>
      </c>
      <c r="B16" t="s">
        <v>79</v>
      </c>
      <c r="C16">
        <v>11</v>
      </c>
      <c r="D16">
        <v>12</v>
      </c>
      <c r="E16">
        <v>1</v>
      </c>
      <c r="F16">
        <v>2.4060000000000001</v>
      </c>
      <c r="G16">
        <v>2.177</v>
      </c>
      <c r="H16">
        <v>0</v>
      </c>
      <c r="I16">
        <v>1</v>
      </c>
      <c r="J16" t="b">
        <v>1</v>
      </c>
      <c r="K16" t="s">
        <v>81</v>
      </c>
      <c r="L16">
        <v>100</v>
      </c>
    </row>
    <row r="17" spans="1:12" x14ac:dyDescent="0.3">
      <c r="A17">
        <v>16</v>
      </c>
      <c r="B17" t="s">
        <v>80</v>
      </c>
      <c r="C17">
        <v>12</v>
      </c>
      <c r="D17">
        <v>13</v>
      </c>
      <c r="E17">
        <v>1</v>
      </c>
      <c r="F17">
        <v>1.861</v>
      </c>
      <c r="G17">
        <v>3.79</v>
      </c>
      <c r="H17">
        <v>0</v>
      </c>
      <c r="I17">
        <v>1</v>
      </c>
      <c r="J17" t="b">
        <v>1</v>
      </c>
      <c r="K17" t="s">
        <v>81</v>
      </c>
      <c r="L1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9FE10-93D4-42B8-B2EA-537D23A015D1}">
  <dimension ref="A1:H14"/>
  <sheetViews>
    <sheetView workbookViewId="0">
      <selection activeCell="D21" sqref="D21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22</v>
      </c>
      <c r="D1" t="s">
        <v>23</v>
      </c>
      <c r="E1" t="s">
        <v>82</v>
      </c>
      <c r="F1" t="s">
        <v>4</v>
      </c>
      <c r="G1" t="s">
        <v>3</v>
      </c>
      <c r="H1" t="s">
        <v>28</v>
      </c>
    </row>
    <row r="2" spans="1:8" x14ac:dyDescent="0.3">
      <c r="A2">
        <v>1</v>
      </c>
      <c r="B2" t="s">
        <v>83</v>
      </c>
      <c r="C2">
        <v>1</v>
      </c>
      <c r="D2">
        <v>21.7</v>
      </c>
      <c r="E2">
        <v>12.7</v>
      </c>
      <c r="F2" t="b">
        <v>1</v>
      </c>
      <c r="G2" t="s">
        <v>94</v>
      </c>
      <c r="H2" t="b">
        <v>0</v>
      </c>
    </row>
    <row r="3" spans="1:8" x14ac:dyDescent="0.3">
      <c r="A3">
        <v>2</v>
      </c>
      <c r="B3" t="s">
        <v>84</v>
      </c>
      <c r="C3">
        <v>2</v>
      </c>
      <c r="D3">
        <v>94.2</v>
      </c>
      <c r="E3">
        <v>19</v>
      </c>
      <c r="F3" t="b">
        <v>1</v>
      </c>
      <c r="G3" t="s">
        <v>94</v>
      </c>
      <c r="H3" t="b">
        <v>0</v>
      </c>
    </row>
    <row r="4" spans="1:8" x14ac:dyDescent="0.3">
      <c r="A4">
        <v>3</v>
      </c>
      <c r="B4" t="s">
        <v>85</v>
      </c>
      <c r="C4">
        <v>3</v>
      </c>
      <c r="D4">
        <v>47.8</v>
      </c>
      <c r="E4">
        <v>-3.9</v>
      </c>
      <c r="F4" t="b">
        <v>1</v>
      </c>
      <c r="G4" t="s">
        <v>94</v>
      </c>
      <c r="H4" t="b">
        <v>0</v>
      </c>
    </row>
    <row r="5" spans="1:8" x14ac:dyDescent="0.3">
      <c r="A5">
        <v>4</v>
      </c>
      <c r="B5" t="s">
        <v>86</v>
      </c>
      <c r="C5">
        <v>4</v>
      </c>
      <c r="D5">
        <v>7.6</v>
      </c>
      <c r="E5">
        <v>1.6</v>
      </c>
      <c r="F5" t="b">
        <v>1</v>
      </c>
      <c r="G5" t="s">
        <v>94</v>
      </c>
      <c r="H5" t="b">
        <v>0</v>
      </c>
    </row>
    <row r="6" spans="1:8" x14ac:dyDescent="0.3">
      <c r="A6">
        <v>5</v>
      </c>
      <c r="B6" t="s">
        <v>87</v>
      </c>
      <c r="C6">
        <v>5</v>
      </c>
      <c r="D6">
        <v>11.2</v>
      </c>
      <c r="E6">
        <v>7.5</v>
      </c>
      <c r="F6" t="b">
        <v>1</v>
      </c>
      <c r="G6" t="s">
        <v>94</v>
      </c>
      <c r="H6" t="b">
        <v>0</v>
      </c>
    </row>
    <row r="7" spans="1:8" x14ac:dyDescent="0.3">
      <c r="A7">
        <v>6</v>
      </c>
      <c r="B7" t="s">
        <v>95</v>
      </c>
      <c r="C7">
        <v>6</v>
      </c>
      <c r="D7">
        <v>0</v>
      </c>
      <c r="E7">
        <v>0</v>
      </c>
      <c r="F7" t="b">
        <v>1</v>
      </c>
      <c r="G7" t="s">
        <v>94</v>
      </c>
      <c r="H7" t="b">
        <v>0</v>
      </c>
    </row>
    <row r="8" spans="1:8" x14ac:dyDescent="0.3">
      <c r="A8">
        <v>7</v>
      </c>
      <c r="B8" t="s">
        <v>96</v>
      </c>
      <c r="C8">
        <v>7</v>
      </c>
      <c r="D8">
        <v>0</v>
      </c>
      <c r="E8">
        <v>0</v>
      </c>
      <c r="F8" t="b">
        <v>1</v>
      </c>
      <c r="G8" t="s">
        <v>94</v>
      </c>
      <c r="H8" t="b">
        <v>0</v>
      </c>
    </row>
    <row r="9" spans="1:8" x14ac:dyDescent="0.3">
      <c r="A9">
        <v>8</v>
      </c>
      <c r="B9" t="s">
        <v>88</v>
      </c>
      <c r="C9">
        <v>8</v>
      </c>
      <c r="D9">
        <v>29.5</v>
      </c>
      <c r="E9">
        <v>16.600000000000001</v>
      </c>
      <c r="F9" t="b">
        <v>1</v>
      </c>
      <c r="G9" t="s">
        <v>94</v>
      </c>
      <c r="H9" t="b">
        <v>0</v>
      </c>
    </row>
    <row r="10" spans="1:8" x14ac:dyDescent="0.3">
      <c r="A10">
        <v>9</v>
      </c>
      <c r="B10" t="s">
        <v>89</v>
      </c>
      <c r="C10">
        <v>9</v>
      </c>
      <c r="D10">
        <v>9</v>
      </c>
      <c r="E10">
        <v>5.8</v>
      </c>
      <c r="F10" t="b">
        <v>1</v>
      </c>
      <c r="G10" t="s">
        <v>94</v>
      </c>
      <c r="H10" t="b">
        <v>0</v>
      </c>
    </row>
    <row r="11" spans="1:8" x14ac:dyDescent="0.3">
      <c r="A11">
        <v>10</v>
      </c>
      <c r="B11" t="s">
        <v>90</v>
      </c>
      <c r="C11">
        <v>10</v>
      </c>
      <c r="D11">
        <v>3.5</v>
      </c>
      <c r="E11">
        <v>1.8</v>
      </c>
      <c r="F11" t="b">
        <v>1</v>
      </c>
      <c r="G11" t="s">
        <v>94</v>
      </c>
      <c r="H11" t="b">
        <v>0</v>
      </c>
    </row>
    <row r="12" spans="1:8" x14ac:dyDescent="0.3">
      <c r="A12">
        <v>11</v>
      </c>
      <c r="B12" t="s">
        <v>91</v>
      </c>
      <c r="C12">
        <v>11</v>
      </c>
      <c r="D12">
        <v>6.1</v>
      </c>
      <c r="E12">
        <v>1.6</v>
      </c>
      <c r="F12" t="b">
        <v>1</v>
      </c>
      <c r="G12" t="s">
        <v>94</v>
      </c>
      <c r="H12" t="b">
        <v>0</v>
      </c>
    </row>
    <row r="13" spans="1:8" x14ac:dyDescent="0.3">
      <c r="A13">
        <v>12</v>
      </c>
      <c r="B13" t="s">
        <v>92</v>
      </c>
      <c r="C13">
        <v>12</v>
      </c>
      <c r="D13">
        <v>13.5</v>
      </c>
      <c r="E13">
        <v>5.8</v>
      </c>
      <c r="F13" t="b">
        <v>1</v>
      </c>
      <c r="G13" t="s">
        <v>94</v>
      </c>
      <c r="H13" t="b">
        <v>0</v>
      </c>
    </row>
    <row r="14" spans="1:8" x14ac:dyDescent="0.3">
      <c r="A14">
        <v>13</v>
      </c>
      <c r="B14" t="s">
        <v>93</v>
      </c>
      <c r="C14">
        <v>13</v>
      </c>
      <c r="D14">
        <v>14.9</v>
      </c>
      <c r="E14">
        <v>5</v>
      </c>
      <c r="F14" t="b">
        <v>1</v>
      </c>
      <c r="G14" t="s">
        <v>94</v>
      </c>
      <c r="H1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B39E4-F58F-4532-9904-8DD03024B7EB}">
  <dimension ref="A1:K2"/>
  <sheetViews>
    <sheetView workbookViewId="0">
      <selection activeCell="F15" sqref="F15"/>
    </sheetView>
  </sheetViews>
  <sheetFormatPr defaultRowHeight="14.4" x14ac:dyDescent="0.3"/>
  <sheetData>
    <row r="1" spans="1:11" x14ac:dyDescent="0.3">
      <c r="A1" t="s">
        <v>1</v>
      </c>
      <c r="B1" t="s">
        <v>0</v>
      </c>
      <c r="C1" t="s">
        <v>22</v>
      </c>
      <c r="D1" t="s">
        <v>24</v>
      </c>
      <c r="E1" t="s">
        <v>97</v>
      </c>
      <c r="F1" t="s">
        <v>30</v>
      </c>
      <c r="G1" t="s">
        <v>29</v>
      </c>
      <c r="H1" t="s">
        <v>27</v>
      </c>
      <c r="I1" t="s">
        <v>26</v>
      </c>
      <c r="J1" t="s">
        <v>4</v>
      </c>
      <c r="K1" t="s">
        <v>28</v>
      </c>
    </row>
    <row r="2" spans="1:11" x14ac:dyDescent="0.3">
      <c r="A2">
        <v>1</v>
      </c>
      <c r="B2" t="s">
        <v>98</v>
      </c>
      <c r="C2">
        <v>0</v>
      </c>
      <c r="D2">
        <v>1.06</v>
      </c>
      <c r="E2">
        <v>0</v>
      </c>
      <c r="F2">
        <v>320</v>
      </c>
      <c r="G2">
        <v>0</v>
      </c>
      <c r="H2">
        <v>-160</v>
      </c>
      <c r="I2">
        <v>300</v>
      </c>
      <c r="J2" t="b">
        <v>1</v>
      </c>
      <c r="K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32A4-B399-4C44-B78B-5470DC3658DF}">
  <dimension ref="A1:H2"/>
  <sheetViews>
    <sheetView workbookViewId="0">
      <selection activeCell="H3" sqref="H3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22</v>
      </c>
      <c r="D1" t="s">
        <v>82</v>
      </c>
      <c r="E1" t="s">
        <v>23</v>
      </c>
      <c r="F1" t="s">
        <v>4</v>
      </c>
      <c r="G1" t="s">
        <v>101</v>
      </c>
      <c r="H1" t="s">
        <v>102</v>
      </c>
    </row>
    <row r="2" spans="1:8" x14ac:dyDescent="0.3">
      <c r="A2">
        <v>1</v>
      </c>
      <c r="B2" t="s">
        <v>100</v>
      </c>
      <c r="C2">
        <v>8</v>
      </c>
      <c r="D2">
        <f>17747.2*10^(-6)*(33^2)</f>
        <v>19.326700800000001</v>
      </c>
      <c r="E2">
        <v>0</v>
      </c>
      <c r="F2" t="b">
        <v>1</v>
      </c>
      <c r="G2">
        <v>1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gen</vt:lpstr>
      <vt:lpstr>trafo</vt:lpstr>
      <vt:lpstr>line</vt:lpstr>
      <vt:lpstr>load</vt:lpstr>
      <vt:lpstr>grid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Hamdan Rivani</dc:creator>
  <cp:lastModifiedBy>Naufal Hamdan Rivani</cp:lastModifiedBy>
  <dcterms:created xsi:type="dcterms:W3CDTF">2026-05-29T22:51:26Z</dcterms:created>
  <dcterms:modified xsi:type="dcterms:W3CDTF">2026-06-02T20:04:54Z</dcterms:modified>
</cp:coreProperties>
</file>