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c84db2fc41af4/Postgraduate Degree/EU Core/University of Zagreb/Project on Control Estimation and Optimization in Solar Energy/Source Code/IEEE 39-bus/IEEE 39-bus system using manual LP/"/>
    </mc:Choice>
  </mc:AlternateContent>
  <xr:revisionPtr revIDLastSave="291" documentId="8_{B366E8A9-8AC4-4663-A233-EECCCE324279}" xr6:coauthVersionLast="47" xr6:coauthVersionMax="47" xr10:uidLastSave="{07DDB987-0984-4467-B431-B2A4DC906236}"/>
  <bookViews>
    <workbookView xWindow="-108" yWindow="-108" windowWidth="23256" windowHeight="12456" xr2:uid="{4DC7DE8E-FE81-4512-84E6-C1799FF6084F}"/>
  </bookViews>
  <sheets>
    <sheet name="lines" sheetId="1" r:id="rId1"/>
    <sheet name="trafos" sheetId="2" r:id="rId2"/>
    <sheet name="gens" sheetId="3" r:id="rId3"/>
    <sheet name="b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D3" i="1" s="1"/>
  <c r="I4" i="1"/>
  <c r="I5" i="1"/>
  <c r="D5" i="1" s="1"/>
  <c r="I6" i="1"/>
  <c r="I7" i="1"/>
  <c r="D7" i="1" s="1"/>
  <c r="I8" i="1"/>
  <c r="D8" i="1" s="1"/>
  <c r="I9" i="1"/>
  <c r="D9" i="1" s="1"/>
  <c r="I10" i="1"/>
  <c r="D10" i="1" s="1"/>
  <c r="I11" i="1"/>
  <c r="I12" i="1"/>
  <c r="I13" i="1"/>
  <c r="I14" i="1"/>
  <c r="I15" i="1"/>
  <c r="I16" i="1"/>
  <c r="I17" i="1"/>
  <c r="D17" i="1" s="1"/>
  <c r="I18" i="1"/>
  <c r="I19" i="1"/>
  <c r="I20" i="1"/>
  <c r="I21" i="1"/>
  <c r="D21" i="1" s="1"/>
  <c r="I22" i="1"/>
  <c r="I23" i="1"/>
  <c r="I24" i="1"/>
  <c r="D24" i="1" s="1"/>
  <c r="I25" i="1"/>
  <c r="D25" i="1" s="1"/>
  <c r="I26" i="1"/>
  <c r="D26" i="1" s="1"/>
  <c r="I27" i="1"/>
  <c r="I28" i="1"/>
  <c r="I29" i="1"/>
  <c r="D29" i="1" s="1"/>
  <c r="I30" i="1"/>
  <c r="I31" i="1"/>
  <c r="I32" i="1"/>
  <c r="I33" i="1"/>
  <c r="D33" i="1" s="1"/>
  <c r="I34" i="1"/>
  <c r="I35" i="1"/>
  <c r="D35" i="1" s="1"/>
  <c r="I2" i="1"/>
  <c r="D2" i="1" s="1"/>
  <c r="D4" i="1"/>
  <c r="D16" i="1"/>
  <c r="D23" i="1"/>
  <c r="D30" i="1"/>
  <c r="D31" i="1"/>
  <c r="D32" i="1"/>
  <c r="D34" i="1"/>
  <c r="D18" i="1"/>
  <c r="D28" i="1"/>
  <c r="D15" i="1"/>
  <c r="D6" i="1"/>
  <c r="J35" i="1"/>
  <c r="D27" i="1"/>
  <c r="D3" i="2"/>
  <c r="D4" i="2"/>
  <c r="D5" i="2"/>
  <c r="D6" i="2"/>
  <c r="D7" i="2"/>
  <c r="D8" i="2"/>
  <c r="D9" i="2"/>
  <c r="D10" i="2"/>
  <c r="D11" i="2"/>
  <c r="D12" i="2"/>
  <c r="D13" i="2"/>
  <c r="D2" i="2"/>
  <c r="J20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2" i="4"/>
  <c r="H35" i="1"/>
  <c r="G35" i="1"/>
  <c r="D19" i="1"/>
  <c r="D22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J27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2" i="4"/>
  <c r="G9" i="1"/>
  <c r="D11" i="1"/>
  <c r="D12" i="1"/>
  <c r="D13" i="1"/>
  <c r="D14" i="1"/>
  <c r="H2" i="1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2" i="1"/>
  <c r="C2" i="3"/>
  <c r="B2" i="3"/>
  <c r="J9" i="1" l="1"/>
  <c r="J33" i="1"/>
  <c r="J25" i="1"/>
  <c r="J17" i="1"/>
  <c r="J15" i="1"/>
  <c r="J31" i="1"/>
  <c r="J6" i="1"/>
  <c r="J22" i="1"/>
  <c r="J11" i="1"/>
  <c r="J3" i="1"/>
  <c r="J19" i="1"/>
  <c r="J23" i="1"/>
  <c r="J30" i="1"/>
  <c r="J7" i="1"/>
  <c r="J14" i="1"/>
  <c r="J16" i="1"/>
  <c r="J32" i="1"/>
  <c r="J24" i="1"/>
  <c r="D20" i="1"/>
  <c r="J12" i="1"/>
  <c r="J4" i="1"/>
  <c r="J28" i="1"/>
  <c r="J13" i="1"/>
  <c r="J5" i="1"/>
  <c r="J29" i="1"/>
  <c r="J21" i="1"/>
  <c r="J8" i="1"/>
  <c r="J2" i="1"/>
  <c r="J10" i="1"/>
  <c r="J34" i="1"/>
  <c r="J26" i="1"/>
  <c r="J18" i="1"/>
</calcChain>
</file>

<file path=xl/sharedStrings.xml><?xml version="1.0" encoding="utf-8"?>
<sst xmlns="http://schemas.openxmlformats.org/spreadsheetml/2006/main" count="26" uniqueCount="20">
  <si>
    <t>from_bus</t>
  </si>
  <si>
    <t>to_bus</t>
  </si>
  <si>
    <t>x_pu</t>
  </si>
  <si>
    <t>Sbase</t>
  </si>
  <si>
    <t>P_max_pu</t>
  </si>
  <si>
    <t>bus</t>
  </si>
  <si>
    <t>max_p_mw_pu</t>
  </si>
  <si>
    <t>min_p_mw_pu</t>
  </si>
  <si>
    <t>max_p_mw</t>
  </si>
  <si>
    <t>min_p_mw</t>
  </si>
  <si>
    <t>Pg</t>
  </si>
  <si>
    <t>Pd</t>
  </si>
  <si>
    <t>kVbase</t>
  </si>
  <si>
    <t>Zbase</t>
  </si>
  <si>
    <t>Ibase</t>
  </si>
  <si>
    <t>Ib</t>
  </si>
  <si>
    <t>Ib_pu</t>
  </si>
  <si>
    <t>shift_degree</t>
  </si>
  <si>
    <t>Pd_MW</t>
  </si>
  <si>
    <t>Pg_MW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</si>
</sst>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A530-78A9-41E7-AC08-1A109BD1A42D}">
  <dimension ref="A1:K35"/>
  <sheetViews>
    <sheetView tabSelected="1" workbookViewId="0">
      <selection activeCell="L7" sqref="L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1" x14ac:dyDescent="0.3">
      <c r="A2">
        <v>1</v>
      </c>
      <c r="B2">
        <v>2</v>
      </c>
      <c r="C2">
        <v>4.1099999999999998E-2</v>
      </c>
      <c r="D2">
        <f t="shared" ref="D2:D35" si="0">F2*I2*SQRT(3)/E2</f>
        <v>6.2743540504182578</v>
      </c>
      <c r="E2">
        <v>100</v>
      </c>
      <c r="F2">
        <v>345</v>
      </c>
      <c r="G2">
        <f>F2^2/E2</f>
        <v>1190.25</v>
      </c>
      <c r="H2">
        <f t="shared" ref="H2:H35" si="1">E2/(SQRT(3)*F2)</f>
        <v>0.16734790411293499</v>
      </c>
      <c r="I2">
        <f>1.05*K2</f>
        <v>1.05</v>
      </c>
      <c r="J2">
        <f>I2/H2</f>
        <v>6.2743540504182587</v>
      </c>
      <c r="K2">
        <v>1</v>
      </c>
    </row>
    <row r="3" spans="1:11" x14ac:dyDescent="0.3">
      <c r="A3">
        <v>1</v>
      </c>
      <c r="B3">
        <v>39</v>
      </c>
      <c r="C3">
        <v>2.5000000000000001E-2</v>
      </c>
      <c r="D3">
        <f t="shared" si="0"/>
        <v>6.2743540504182578</v>
      </c>
      <c r="E3">
        <v>100</v>
      </c>
      <c r="F3">
        <v>345</v>
      </c>
      <c r="G3">
        <f t="shared" ref="G3:G35" si="2">F3^2/E3</f>
        <v>1190.25</v>
      </c>
      <c r="H3">
        <f t="shared" si="1"/>
        <v>0.16734790411293499</v>
      </c>
      <c r="I3">
        <f t="shared" ref="I3:I35" si="3">1.05*K3</f>
        <v>1.05</v>
      </c>
      <c r="J3">
        <f t="shared" ref="J3:J15" si="4">I3/H3</f>
        <v>6.2743540504182587</v>
      </c>
      <c r="K3">
        <v>1</v>
      </c>
    </row>
    <row r="4" spans="1:11" x14ac:dyDescent="0.3">
      <c r="A4">
        <v>2</v>
      </c>
      <c r="B4">
        <v>3</v>
      </c>
      <c r="C4">
        <v>1.5100000000000001E-2</v>
      </c>
      <c r="D4">
        <f t="shared" si="0"/>
        <v>6.2743540504182578</v>
      </c>
      <c r="E4">
        <v>100</v>
      </c>
      <c r="F4">
        <v>345</v>
      </c>
      <c r="G4">
        <f t="shared" si="2"/>
        <v>1190.25</v>
      </c>
      <c r="H4">
        <f t="shared" si="1"/>
        <v>0.16734790411293499</v>
      </c>
      <c r="I4">
        <f t="shared" si="3"/>
        <v>1.05</v>
      </c>
      <c r="J4">
        <f t="shared" si="4"/>
        <v>6.2743540504182587</v>
      </c>
      <c r="K4">
        <v>1</v>
      </c>
    </row>
    <row r="5" spans="1:11" x14ac:dyDescent="0.3">
      <c r="A5">
        <v>2</v>
      </c>
      <c r="B5">
        <v>25</v>
      </c>
      <c r="C5">
        <v>8.6E-3</v>
      </c>
      <c r="D5">
        <f t="shared" si="0"/>
        <v>6.2743540504182578</v>
      </c>
      <c r="E5">
        <v>100</v>
      </c>
      <c r="F5">
        <v>345</v>
      </c>
      <c r="G5">
        <f t="shared" si="2"/>
        <v>1190.25</v>
      </c>
      <c r="H5">
        <f t="shared" si="1"/>
        <v>0.16734790411293499</v>
      </c>
      <c r="I5">
        <f t="shared" si="3"/>
        <v>1.05</v>
      </c>
      <c r="J5">
        <f t="shared" si="4"/>
        <v>6.2743540504182587</v>
      </c>
      <c r="K5">
        <v>1</v>
      </c>
    </row>
    <row r="6" spans="1:11" x14ac:dyDescent="0.3">
      <c r="A6">
        <v>3</v>
      </c>
      <c r="B6">
        <v>4</v>
      </c>
      <c r="C6">
        <v>2.1299999999999999E-2</v>
      </c>
      <c r="D6">
        <f t="shared" si="0"/>
        <v>6.2743540504182578</v>
      </c>
      <c r="E6">
        <v>100</v>
      </c>
      <c r="F6">
        <v>345</v>
      </c>
      <c r="G6">
        <f t="shared" si="2"/>
        <v>1190.25</v>
      </c>
      <c r="H6">
        <f t="shared" si="1"/>
        <v>0.16734790411293499</v>
      </c>
      <c r="I6">
        <f t="shared" si="3"/>
        <v>1.05</v>
      </c>
      <c r="J6">
        <f t="shared" si="4"/>
        <v>6.2743540504182587</v>
      </c>
      <c r="K6">
        <v>1</v>
      </c>
    </row>
    <row r="7" spans="1:11" x14ac:dyDescent="0.3">
      <c r="A7">
        <v>3</v>
      </c>
      <c r="B7">
        <v>18</v>
      </c>
      <c r="C7">
        <v>1.3299999999999999E-2</v>
      </c>
      <c r="D7">
        <f t="shared" si="0"/>
        <v>6.2743540504182578</v>
      </c>
      <c r="E7">
        <v>100</v>
      </c>
      <c r="F7">
        <v>345</v>
      </c>
      <c r="G7">
        <f t="shared" si="2"/>
        <v>1190.25</v>
      </c>
      <c r="H7">
        <f t="shared" si="1"/>
        <v>0.16734790411293499</v>
      </c>
      <c r="I7">
        <f t="shared" si="3"/>
        <v>1.05</v>
      </c>
      <c r="J7">
        <f t="shared" si="4"/>
        <v>6.2743540504182587</v>
      </c>
      <c r="K7">
        <v>1</v>
      </c>
    </row>
    <row r="8" spans="1:11" x14ac:dyDescent="0.3">
      <c r="A8">
        <v>4</v>
      </c>
      <c r="B8">
        <v>5</v>
      </c>
      <c r="C8">
        <v>1.2800000000000001E-2</v>
      </c>
      <c r="D8">
        <f t="shared" si="0"/>
        <v>6.2743540504182578</v>
      </c>
      <c r="E8">
        <v>100</v>
      </c>
      <c r="F8">
        <v>345</v>
      </c>
      <c r="G8">
        <f t="shared" si="2"/>
        <v>1190.25</v>
      </c>
      <c r="H8">
        <f t="shared" si="1"/>
        <v>0.16734790411293499</v>
      </c>
      <c r="I8">
        <f t="shared" si="3"/>
        <v>1.05</v>
      </c>
      <c r="J8">
        <f t="shared" si="4"/>
        <v>6.2743540504182587</v>
      </c>
      <c r="K8">
        <v>1</v>
      </c>
    </row>
    <row r="9" spans="1:11" x14ac:dyDescent="0.3">
      <c r="A9">
        <v>4</v>
      </c>
      <c r="B9">
        <v>14</v>
      </c>
      <c r="C9">
        <v>1.29E-2</v>
      </c>
      <c r="D9">
        <f t="shared" si="0"/>
        <v>6.2743540504182578</v>
      </c>
      <c r="E9">
        <v>100</v>
      </c>
      <c r="F9">
        <v>345</v>
      </c>
      <c r="G9">
        <f>F9^2/E9</f>
        <v>1190.25</v>
      </c>
      <c r="H9">
        <f t="shared" si="1"/>
        <v>0.16734790411293499</v>
      </c>
      <c r="I9">
        <f t="shared" si="3"/>
        <v>1.05</v>
      </c>
      <c r="J9">
        <f t="shared" si="4"/>
        <v>6.2743540504182587</v>
      </c>
      <c r="K9">
        <v>1</v>
      </c>
    </row>
    <row r="10" spans="1:11" x14ac:dyDescent="0.3">
      <c r="A10">
        <v>5</v>
      </c>
      <c r="B10">
        <v>6</v>
      </c>
      <c r="C10">
        <v>2.5999999999999999E-3</v>
      </c>
      <c r="D10">
        <f t="shared" si="0"/>
        <v>6.2743540504182578</v>
      </c>
      <c r="E10">
        <v>100</v>
      </c>
      <c r="F10">
        <v>345</v>
      </c>
      <c r="G10">
        <f t="shared" si="2"/>
        <v>1190.25</v>
      </c>
      <c r="H10">
        <f t="shared" si="1"/>
        <v>0.16734790411293499</v>
      </c>
      <c r="I10">
        <f t="shared" si="3"/>
        <v>1.05</v>
      </c>
      <c r="J10">
        <f t="shared" si="4"/>
        <v>6.2743540504182587</v>
      </c>
      <c r="K10">
        <v>1</v>
      </c>
    </row>
    <row r="11" spans="1:11" x14ac:dyDescent="0.3">
      <c r="A11">
        <v>5</v>
      </c>
      <c r="B11">
        <v>8</v>
      </c>
      <c r="C11">
        <v>1.12E-2</v>
      </c>
      <c r="D11">
        <f t="shared" si="0"/>
        <v>6.2743540504182578</v>
      </c>
      <c r="E11">
        <v>100</v>
      </c>
      <c r="F11">
        <v>345</v>
      </c>
      <c r="G11">
        <f t="shared" si="2"/>
        <v>1190.25</v>
      </c>
      <c r="H11">
        <f t="shared" si="1"/>
        <v>0.16734790411293499</v>
      </c>
      <c r="I11">
        <f t="shared" si="3"/>
        <v>1.05</v>
      </c>
      <c r="J11">
        <f t="shared" si="4"/>
        <v>6.2743540504182587</v>
      </c>
      <c r="K11">
        <v>1</v>
      </c>
    </row>
    <row r="12" spans="1:11" x14ac:dyDescent="0.3">
      <c r="A12">
        <v>6</v>
      </c>
      <c r="B12">
        <v>7</v>
      </c>
      <c r="C12">
        <v>9.1999999999999998E-3</v>
      </c>
      <c r="D12">
        <f t="shared" si="0"/>
        <v>6.2743540504182578</v>
      </c>
      <c r="E12">
        <v>100</v>
      </c>
      <c r="F12">
        <v>345</v>
      </c>
      <c r="G12">
        <f t="shared" si="2"/>
        <v>1190.25</v>
      </c>
      <c r="H12">
        <f t="shared" si="1"/>
        <v>0.16734790411293499</v>
      </c>
      <c r="I12">
        <f t="shared" si="3"/>
        <v>1.05</v>
      </c>
      <c r="J12">
        <f t="shared" si="4"/>
        <v>6.2743540504182587</v>
      </c>
      <c r="K12">
        <v>1</v>
      </c>
    </row>
    <row r="13" spans="1:11" x14ac:dyDescent="0.3">
      <c r="A13">
        <v>6</v>
      </c>
      <c r="B13">
        <v>11</v>
      </c>
      <c r="C13">
        <v>8.2000000000000007E-3</v>
      </c>
      <c r="D13">
        <f t="shared" si="0"/>
        <v>6.2743540504182578</v>
      </c>
      <c r="E13">
        <v>100</v>
      </c>
      <c r="F13">
        <v>345</v>
      </c>
      <c r="G13">
        <f t="shared" si="2"/>
        <v>1190.25</v>
      </c>
      <c r="H13">
        <f t="shared" si="1"/>
        <v>0.16734790411293499</v>
      </c>
      <c r="I13">
        <f t="shared" si="3"/>
        <v>1.05</v>
      </c>
      <c r="J13">
        <f t="shared" si="4"/>
        <v>6.2743540504182587</v>
      </c>
      <c r="K13">
        <v>1</v>
      </c>
    </row>
    <row r="14" spans="1:11" x14ac:dyDescent="0.3">
      <c r="A14">
        <v>7</v>
      </c>
      <c r="B14">
        <v>8</v>
      </c>
      <c r="C14">
        <v>4.5999999999999999E-3</v>
      </c>
      <c r="D14">
        <f t="shared" si="0"/>
        <v>6.2743540504182578</v>
      </c>
      <c r="E14">
        <v>100</v>
      </c>
      <c r="F14">
        <v>345</v>
      </c>
      <c r="G14">
        <f t="shared" si="2"/>
        <v>1190.25</v>
      </c>
      <c r="H14">
        <f t="shared" si="1"/>
        <v>0.16734790411293499</v>
      </c>
      <c r="I14">
        <f t="shared" si="3"/>
        <v>1.05</v>
      </c>
      <c r="J14">
        <f t="shared" si="4"/>
        <v>6.2743540504182587</v>
      </c>
      <c r="K14">
        <v>1</v>
      </c>
    </row>
    <row r="15" spans="1:11" x14ac:dyDescent="0.3">
      <c r="A15">
        <v>8</v>
      </c>
      <c r="B15">
        <v>9</v>
      </c>
      <c r="C15">
        <v>3.6299999999999999E-2</v>
      </c>
      <c r="D15">
        <f t="shared" si="0"/>
        <v>6.2743540504182578</v>
      </c>
      <c r="E15">
        <v>100</v>
      </c>
      <c r="F15">
        <v>345</v>
      </c>
      <c r="G15">
        <f t="shared" si="2"/>
        <v>1190.25</v>
      </c>
      <c r="H15">
        <f t="shared" si="1"/>
        <v>0.16734790411293499</v>
      </c>
      <c r="I15">
        <f t="shared" si="3"/>
        <v>1.05</v>
      </c>
      <c r="J15">
        <f t="shared" si="4"/>
        <v>6.2743540504182587</v>
      </c>
      <c r="K15">
        <v>1</v>
      </c>
    </row>
    <row r="16" spans="1:11" x14ac:dyDescent="0.3">
      <c r="A16">
        <v>9</v>
      </c>
      <c r="B16">
        <v>39</v>
      </c>
      <c r="C16">
        <v>2.5000000000000001E-2</v>
      </c>
      <c r="D16">
        <f t="shared" si="0"/>
        <v>6.2743540504182578</v>
      </c>
      <c r="E16">
        <v>100</v>
      </c>
      <c r="F16">
        <v>345</v>
      </c>
      <c r="G16">
        <f t="shared" si="2"/>
        <v>1190.25</v>
      </c>
      <c r="H16">
        <f t="shared" si="1"/>
        <v>0.16734790411293499</v>
      </c>
      <c r="I16">
        <f t="shared" si="3"/>
        <v>1.05</v>
      </c>
      <c r="J16">
        <f>I16/H16</f>
        <v>6.2743540504182587</v>
      </c>
      <c r="K16">
        <v>1</v>
      </c>
    </row>
    <row r="17" spans="1:11" x14ac:dyDescent="0.3">
      <c r="A17">
        <v>10</v>
      </c>
      <c r="B17">
        <v>11</v>
      </c>
      <c r="C17">
        <v>4.3E-3</v>
      </c>
      <c r="D17">
        <f t="shared" si="0"/>
        <v>6.2743540504182578</v>
      </c>
      <c r="E17">
        <v>100</v>
      </c>
      <c r="F17">
        <v>345</v>
      </c>
      <c r="G17">
        <f t="shared" si="2"/>
        <v>1190.25</v>
      </c>
      <c r="H17">
        <f t="shared" si="1"/>
        <v>0.16734790411293499</v>
      </c>
      <c r="I17">
        <f t="shared" si="3"/>
        <v>1.05</v>
      </c>
      <c r="J17">
        <f t="shared" ref="J17:J35" si="5">I17/H17</f>
        <v>6.2743540504182587</v>
      </c>
      <c r="K17">
        <v>1</v>
      </c>
    </row>
    <row r="18" spans="1:11" x14ac:dyDescent="0.3">
      <c r="A18">
        <v>10</v>
      </c>
      <c r="B18">
        <v>13</v>
      </c>
      <c r="C18">
        <v>4.3E-3</v>
      </c>
      <c r="D18">
        <f t="shared" si="0"/>
        <v>6.2743540504182578</v>
      </c>
      <c r="E18">
        <v>100</v>
      </c>
      <c r="F18">
        <v>345</v>
      </c>
      <c r="G18">
        <f t="shared" si="2"/>
        <v>1190.25</v>
      </c>
      <c r="H18">
        <f t="shared" si="1"/>
        <v>0.16734790411293499</v>
      </c>
      <c r="I18">
        <f t="shared" si="3"/>
        <v>1.05</v>
      </c>
      <c r="J18">
        <f t="shared" si="5"/>
        <v>6.2743540504182587</v>
      </c>
      <c r="K18">
        <v>1</v>
      </c>
    </row>
    <row r="19" spans="1:11" x14ac:dyDescent="0.3">
      <c r="A19">
        <v>13</v>
      </c>
      <c r="B19">
        <v>14</v>
      </c>
      <c r="C19">
        <v>1.01E-2</v>
      </c>
      <c r="D19">
        <f t="shared" si="0"/>
        <v>6.2743540504182578</v>
      </c>
      <c r="E19">
        <v>100</v>
      </c>
      <c r="F19">
        <v>345</v>
      </c>
      <c r="G19">
        <f t="shared" si="2"/>
        <v>1190.25</v>
      </c>
      <c r="H19">
        <f t="shared" si="1"/>
        <v>0.16734790411293499</v>
      </c>
      <c r="I19">
        <f t="shared" si="3"/>
        <v>1.05</v>
      </c>
      <c r="J19">
        <f t="shared" si="5"/>
        <v>6.2743540504182587</v>
      </c>
      <c r="K19">
        <v>1</v>
      </c>
    </row>
    <row r="20" spans="1:11" x14ac:dyDescent="0.3">
      <c r="A20">
        <v>14</v>
      </c>
      <c r="B20">
        <v>15</v>
      </c>
      <c r="C20">
        <v>2.1700000000000001E-2</v>
      </c>
      <c r="D20">
        <f t="shared" si="0"/>
        <v>6.2743540504182578</v>
      </c>
      <c r="E20">
        <v>100</v>
      </c>
      <c r="F20">
        <v>345</v>
      </c>
      <c r="G20">
        <f t="shared" si="2"/>
        <v>1190.25</v>
      </c>
      <c r="H20">
        <f t="shared" si="1"/>
        <v>0.16734790411293499</v>
      </c>
      <c r="I20">
        <f t="shared" si="3"/>
        <v>1.05</v>
      </c>
      <c r="J20">
        <f t="shared" si="5"/>
        <v>6.2743540504182587</v>
      </c>
      <c r="K20">
        <v>1</v>
      </c>
    </row>
    <row r="21" spans="1:11" x14ac:dyDescent="0.3">
      <c r="A21">
        <v>15</v>
      </c>
      <c r="B21">
        <v>16</v>
      </c>
      <c r="C21">
        <v>9.4000000000000004E-3</v>
      </c>
      <c r="D21">
        <f t="shared" si="0"/>
        <v>6.2743540504182578</v>
      </c>
      <c r="E21">
        <v>100</v>
      </c>
      <c r="F21">
        <v>345</v>
      </c>
      <c r="G21">
        <f t="shared" si="2"/>
        <v>1190.25</v>
      </c>
      <c r="H21">
        <f t="shared" si="1"/>
        <v>0.16734790411293499</v>
      </c>
      <c r="I21">
        <f t="shared" si="3"/>
        <v>1.05</v>
      </c>
      <c r="J21">
        <f t="shared" si="5"/>
        <v>6.2743540504182587</v>
      </c>
      <c r="K21">
        <v>1</v>
      </c>
    </row>
    <row r="22" spans="1:11" x14ac:dyDescent="0.3">
      <c r="A22">
        <v>16</v>
      </c>
      <c r="B22">
        <v>17</v>
      </c>
      <c r="C22">
        <v>8.8999999999999999E-3</v>
      </c>
      <c r="D22">
        <f t="shared" si="0"/>
        <v>6.2743540504182578</v>
      </c>
      <c r="E22">
        <v>100</v>
      </c>
      <c r="F22">
        <v>345</v>
      </c>
      <c r="G22">
        <f t="shared" si="2"/>
        <v>1190.25</v>
      </c>
      <c r="H22">
        <f t="shared" si="1"/>
        <v>0.16734790411293499</v>
      </c>
      <c r="I22">
        <f t="shared" si="3"/>
        <v>1.05</v>
      </c>
      <c r="J22">
        <f t="shared" si="5"/>
        <v>6.2743540504182587</v>
      </c>
      <c r="K22">
        <v>1</v>
      </c>
    </row>
    <row r="23" spans="1:11" x14ac:dyDescent="0.3">
      <c r="A23">
        <v>16</v>
      </c>
      <c r="B23">
        <v>19</v>
      </c>
      <c r="C23">
        <v>1.95E-2</v>
      </c>
      <c r="D23">
        <f t="shared" si="0"/>
        <v>6.2743540504182578</v>
      </c>
      <c r="E23">
        <v>100</v>
      </c>
      <c r="F23">
        <v>345</v>
      </c>
      <c r="G23">
        <f t="shared" si="2"/>
        <v>1190.25</v>
      </c>
      <c r="H23">
        <f t="shared" si="1"/>
        <v>0.16734790411293499</v>
      </c>
      <c r="I23">
        <f t="shared" si="3"/>
        <v>1.05</v>
      </c>
      <c r="J23">
        <f t="shared" si="5"/>
        <v>6.2743540504182587</v>
      </c>
      <c r="K23">
        <v>1</v>
      </c>
    </row>
    <row r="24" spans="1:11" x14ac:dyDescent="0.3">
      <c r="A24">
        <v>16</v>
      </c>
      <c r="B24">
        <v>21</v>
      </c>
      <c r="C24">
        <v>1.35E-2</v>
      </c>
      <c r="D24">
        <f t="shared" si="0"/>
        <v>6.2743540504182578</v>
      </c>
      <c r="E24">
        <v>100</v>
      </c>
      <c r="F24">
        <v>345</v>
      </c>
      <c r="G24">
        <f t="shared" si="2"/>
        <v>1190.25</v>
      </c>
      <c r="H24">
        <f t="shared" si="1"/>
        <v>0.16734790411293499</v>
      </c>
      <c r="I24">
        <f t="shared" si="3"/>
        <v>1.05</v>
      </c>
      <c r="J24">
        <f t="shared" si="5"/>
        <v>6.2743540504182587</v>
      </c>
      <c r="K24">
        <v>1</v>
      </c>
    </row>
    <row r="25" spans="1:11" x14ac:dyDescent="0.3">
      <c r="A25">
        <v>16</v>
      </c>
      <c r="B25">
        <v>24</v>
      </c>
      <c r="C25">
        <v>5.8999999999999999E-3</v>
      </c>
      <c r="D25">
        <f t="shared" si="0"/>
        <v>6.2743540504182578</v>
      </c>
      <c r="E25">
        <v>100</v>
      </c>
      <c r="F25">
        <v>345</v>
      </c>
      <c r="G25">
        <f t="shared" si="2"/>
        <v>1190.25</v>
      </c>
      <c r="H25">
        <f t="shared" si="1"/>
        <v>0.16734790411293499</v>
      </c>
      <c r="I25">
        <f t="shared" si="3"/>
        <v>1.05</v>
      </c>
      <c r="J25">
        <f t="shared" si="5"/>
        <v>6.2743540504182587</v>
      </c>
      <c r="K25">
        <v>1</v>
      </c>
    </row>
    <row r="26" spans="1:11" x14ac:dyDescent="0.3">
      <c r="A26">
        <v>17</v>
      </c>
      <c r="B26">
        <v>18</v>
      </c>
      <c r="C26">
        <v>8.2000000000000007E-3</v>
      </c>
      <c r="D26">
        <f t="shared" si="0"/>
        <v>6.2743540504182578</v>
      </c>
      <c r="E26">
        <v>100</v>
      </c>
      <c r="F26">
        <v>345</v>
      </c>
      <c r="G26">
        <f t="shared" si="2"/>
        <v>1190.25</v>
      </c>
      <c r="H26">
        <f t="shared" si="1"/>
        <v>0.16734790411293499</v>
      </c>
      <c r="I26">
        <f t="shared" si="3"/>
        <v>1.05</v>
      </c>
      <c r="J26">
        <f t="shared" si="5"/>
        <v>6.2743540504182587</v>
      </c>
      <c r="K26">
        <v>1</v>
      </c>
    </row>
    <row r="27" spans="1:11" x14ac:dyDescent="0.3">
      <c r="A27">
        <v>17</v>
      </c>
      <c r="B27">
        <v>27</v>
      </c>
      <c r="C27">
        <v>1.7299999999999999E-2</v>
      </c>
      <c r="D27">
        <f t="shared" si="0"/>
        <v>6.2743540504182578</v>
      </c>
      <c r="E27">
        <v>100</v>
      </c>
      <c r="F27">
        <v>345</v>
      </c>
      <c r="G27">
        <f t="shared" si="2"/>
        <v>1190.25</v>
      </c>
      <c r="H27">
        <f t="shared" si="1"/>
        <v>0.16734790411293499</v>
      </c>
      <c r="I27">
        <f t="shared" si="3"/>
        <v>1.05</v>
      </c>
      <c r="J27">
        <f t="shared" si="5"/>
        <v>6.2743540504182587</v>
      </c>
      <c r="K27">
        <v>1</v>
      </c>
    </row>
    <row r="28" spans="1:11" x14ac:dyDescent="0.3">
      <c r="A28">
        <v>21</v>
      </c>
      <c r="B28">
        <v>22</v>
      </c>
      <c r="C28">
        <v>1.4E-2</v>
      </c>
      <c r="D28">
        <f t="shared" si="0"/>
        <v>6.2743540504182578</v>
      </c>
      <c r="E28">
        <v>100</v>
      </c>
      <c r="F28">
        <v>345</v>
      </c>
      <c r="G28">
        <f t="shared" si="2"/>
        <v>1190.25</v>
      </c>
      <c r="H28">
        <f t="shared" si="1"/>
        <v>0.16734790411293499</v>
      </c>
      <c r="I28">
        <f t="shared" si="3"/>
        <v>1.05</v>
      </c>
      <c r="J28">
        <f t="shared" si="5"/>
        <v>6.2743540504182587</v>
      </c>
      <c r="K28">
        <v>1</v>
      </c>
    </row>
    <row r="29" spans="1:11" x14ac:dyDescent="0.3">
      <c r="A29">
        <v>22</v>
      </c>
      <c r="B29">
        <v>23</v>
      </c>
      <c r="C29">
        <v>9.5999999999999992E-3</v>
      </c>
      <c r="D29">
        <f t="shared" si="0"/>
        <v>6.2743540504182578</v>
      </c>
      <c r="E29">
        <v>100</v>
      </c>
      <c r="F29">
        <v>345</v>
      </c>
      <c r="G29">
        <f t="shared" si="2"/>
        <v>1190.25</v>
      </c>
      <c r="H29">
        <f t="shared" si="1"/>
        <v>0.16734790411293499</v>
      </c>
      <c r="I29">
        <f t="shared" si="3"/>
        <v>1.05</v>
      </c>
      <c r="J29">
        <f t="shared" si="5"/>
        <v>6.2743540504182587</v>
      </c>
      <c r="K29">
        <v>1</v>
      </c>
    </row>
    <row r="30" spans="1:11" x14ac:dyDescent="0.3">
      <c r="A30">
        <v>23</v>
      </c>
      <c r="B30">
        <v>24</v>
      </c>
      <c r="C30">
        <v>3.5000000000000003E-2</v>
      </c>
      <c r="D30">
        <f t="shared" si="0"/>
        <v>6.2743540504182578</v>
      </c>
      <c r="E30">
        <v>100</v>
      </c>
      <c r="F30">
        <v>345</v>
      </c>
      <c r="G30">
        <f t="shared" si="2"/>
        <v>1190.25</v>
      </c>
      <c r="H30">
        <f t="shared" si="1"/>
        <v>0.16734790411293499</v>
      </c>
      <c r="I30">
        <f t="shared" si="3"/>
        <v>1.05</v>
      </c>
      <c r="J30">
        <f t="shared" si="5"/>
        <v>6.2743540504182587</v>
      </c>
      <c r="K30">
        <v>1</v>
      </c>
    </row>
    <row r="31" spans="1:11" x14ac:dyDescent="0.3">
      <c r="A31">
        <v>25</v>
      </c>
      <c r="B31">
        <v>26</v>
      </c>
      <c r="C31">
        <v>3.2300000000000002E-2</v>
      </c>
      <c r="D31">
        <f t="shared" si="0"/>
        <v>6.2743540504182578</v>
      </c>
      <c r="E31">
        <v>100</v>
      </c>
      <c r="F31">
        <v>345</v>
      </c>
      <c r="G31">
        <f t="shared" si="2"/>
        <v>1190.25</v>
      </c>
      <c r="H31">
        <f t="shared" si="1"/>
        <v>0.16734790411293499</v>
      </c>
      <c r="I31">
        <f t="shared" si="3"/>
        <v>1.05</v>
      </c>
      <c r="J31">
        <f t="shared" si="5"/>
        <v>6.2743540504182587</v>
      </c>
      <c r="K31">
        <v>1</v>
      </c>
    </row>
    <row r="32" spans="1:11" x14ac:dyDescent="0.3">
      <c r="A32">
        <v>26</v>
      </c>
      <c r="B32">
        <v>27</v>
      </c>
      <c r="C32">
        <v>1.47E-2</v>
      </c>
      <c r="D32">
        <f t="shared" si="0"/>
        <v>6.2743540504182578</v>
      </c>
      <c r="E32">
        <v>100</v>
      </c>
      <c r="F32">
        <v>345</v>
      </c>
      <c r="G32">
        <f t="shared" si="2"/>
        <v>1190.25</v>
      </c>
      <c r="H32">
        <f t="shared" si="1"/>
        <v>0.16734790411293499</v>
      </c>
      <c r="I32">
        <f t="shared" si="3"/>
        <v>1.05</v>
      </c>
      <c r="J32">
        <f t="shared" si="5"/>
        <v>6.2743540504182587</v>
      </c>
      <c r="K32">
        <v>1</v>
      </c>
    </row>
    <row r="33" spans="1:11" x14ac:dyDescent="0.3">
      <c r="A33">
        <v>26</v>
      </c>
      <c r="B33">
        <v>28</v>
      </c>
      <c r="C33">
        <v>4.7399999999999998E-2</v>
      </c>
      <c r="D33">
        <f t="shared" si="0"/>
        <v>6.2743540504182578</v>
      </c>
      <c r="E33">
        <v>100</v>
      </c>
      <c r="F33">
        <v>345</v>
      </c>
      <c r="G33">
        <f t="shared" si="2"/>
        <v>1190.25</v>
      </c>
      <c r="H33">
        <f t="shared" si="1"/>
        <v>0.16734790411293499</v>
      </c>
      <c r="I33">
        <f t="shared" si="3"/>
        <v>1.05</v>
      </c>
      <c r="J33">
        <f t="shared" si="5"/>
        <v>6.2743540504182587</v>
      </c>
      <c r="K33">
        <v>1</v>
      </c>
    </row>
    <row r="34" spans="1:11" x14ac:dyDescent="0.3">
      <c r="A34">
        <v>26</v>
      </c>
      <c r="B34">
        <v>29</v>
      </c>
      <c r="C34">
        <v>6.25E-2</v>
      </c>
      <c r="D34">
        <f t="shared" si="0"/>
        <v>6.2743540504182578</v>
      </c>
      <c r="E34">
        <v>100</v>
      </c>
      <c r="F34">
        <v>345</v>
      </c>
      <c r="G34">
        <f t="shared" si="2"/>
        <v>1190.25</v>
      </c>
      <c r="H34">
        <f t="shared" si="1"/>
        <v>0.16734790411293499</v>
      </c>
      <c r="I34">
        <f t="shared" si="3"/>
        <v>1.05</v>
      </c>
      <c r="J34">
        <f t="shared" si="5"/>
        <v>6.2743540504182587</v>
      </c>
      <c r="K34">
        <v>1</v>
      </c>
    </row>
    <row r="35" spans="1:11" x14ac:dyDescent="0.3">
      <c r="A35">
        <v>28</v>
      </c>
      <c r="B35">
        <v>29</v>
      </c>
      <c r="C35">
        <v>1.5100000000000001E-2</v>
      </c>
      <c r="D35">
        <f t="shared" si="0"/>
        <v>6.2743540504182578</v>
      </c>
      <c r="E35">
        <v>100</v>
      </c>
      <c r="F35">
        <v>345</v>
      </c>
      <c r="G35">
        <f t="shared" si="2"/>
        <v>1190.25</v>
      </c>
      <c r="H35">
        <f t="shared" si="1"/>
        <v>0.16734790411293499</v>
      </c>
      <c r="I35">
        <f t="shared" si="3"/>
        <v>1.05</v>
      </c>
      <c r="J35">
        <f t="shared" si="5"/>
        <v>6.2743540504182587</v>
      </c>
      <c r="K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FE39-42F3-4299-B25D-16EF4EC42A30}">
  <dimension ref="A1:F13"/>
  <sheetViews>
    <sheetView workbookViewId="0">
      <selection activeCell="G7" sqref="G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17</v>
      </c>
    </row>
    <row r="2" spans="1:6" x14ac:dyDescent="0.3">
      <c r="A2">
        <v>12</v>
      </c>
      <c r="B2">
        <v>11</v>
      </c>
      <c r="C2">
        <v>4.3499999999999997E-2</v>
      </c>
      <c r="D2">
        <f>F2</f>
        <v>3</v>
      </c>
      <c r="E2">
        <v>0</v>
      </c>
      <c r="F2">
        <v>3</v>
      </c>
    </row>
    <row r="3" spans="1:6" x14ac:dyDescent="0.3">
      <c r="A3">
        <v>12</v>
      </c>
      <c r="B3">
        <v>13</v>
      </c>
      <c r="C3">
        <v>4.3499999999999997E-2</v>
      </c>
      <c r="D3">
        <f t="shared" ref="D3:D13" si="0">F3</f>
        <v>3</v>
      </c>
      <c r="E3">
        <v>0</v>
      </c>
      <c r="F3">
        <v>3</v>
      </c>
    </row>
    <row r="4" spans="1:6" x14ac:dyDescent="0.3">
      <c r="A4">
        <v>6</v>
      </c>
      <c r="B4">
        <v>31</v>
      </c>
      <c r="C4">
        <v>2.5000000000000001E-2</v>
      </c>
      <c r="D4">
        <f t="shared" si="0"/>
        <v>7</v>
      </c>
      <c r="E4">
        <v>0</v>
      </c>
      <c r="F4">
        <v>7</v>
      </c>
    </row>
    <row r="5" spans="1:6" x14ac:dyDescent="0.3">
      <c r="A5">
        <v>10</v>
      </c>
      <c r="B5">
        <v>32</v>
      </c>
      <c r="C5">
        <v>0.02</v>
      </c>
      <c r="D5">
        <f t="shared" si="0"/>
        <v>8</v>
      </c>
      <c r="E5">
        <v>0</v>
      </c>
      <c r="F5">
        <v>8</v>
      </c>
    </row>
    <row r="6" spans="1:6" x14ac:dyDescent="0.3">
      <c r="A6">
        <v>19</v>
      </c>
      <c r="B6">
        <v>33</v>
      </c>
      <c r="C6">
        <v>1.4200000000000001E-2</v>
      </c>
      <c r="D6">
        <f t="shared" si="0"/>
        <v>8</v>
      </c>
      <c r="E6">
        <v>0</v>
      </c>
      <c r="F6">
        <v>8</v>
      </c>
    </row>
    <row r="7" spans="1:6" x14ac:dyDescent="0.3">
      <c r="A7">
        <v>20</v>
      </c>
      <c r="B7">
        <v>34</v>
      </c>
      <c r="C7">
        <v>1.7999999999999999E-2</v>
      </c>
      <c r="D7">
        <f t="shared" si="0"/>
        <v>6</v>
      </c>
      <c r="E7">
        <v>0</v>
      </c>
      <c r="F7">
        <v>6</v>
      </c>
    </row>
    <row r="8" spans="1:6" x14ac:dyDescent="0.3">
      <c r="A8">
        <v>22</v>
      </c>
      <c r="B8">
        <v>35</v>
      </c>
      <c r="C8">
        <v>1.43E-2</v>
      </c>
      <c r="D8">
        <f t="shared" si="0"/>
        <v>8</v>
      </c>
      <c r="E8">
        <v>0</v>
      </c>
      <c r="F8">
        <v>8</v>
      </c>
    </row>
    <row r="9" spans="1:6" x14ac:dyDescent="0.3">
      <c r="A9">
        <v>23</v>
      </c>
      <c r="B9">
        <v>36</v>
      </c>
      <c r="C9">
        <v>2.7199999999999998E-2</v>
      </c>
      <c r="D9">
        <f t="shared" si="0"/>
        <v>7</v>
      </c>
      <c r="E9">
        <v>0</v>
      </c>
      <c r="F9">
        <v>7</v>
      </c>
    </row>
    <row r="10" spans="1:6" x14ac:dyDescent="0.3">
      <c r="A10">
        <v>25</v>
      </c>
      <c r="B10">
        <v>37</v>
      </c>
      <c r="C10">
        <v>2.3199999999999998E-2</v>
      </c>
      <c r="D10">
        <f t="shared" si="0"/>
        <v>7</v>
      </c>
      <c r="E10">
        <v>0</v>
      </c>
      <c r="F10">
        <v>7</v>
      </c>
    </row>
    <row r="11" spans="1:6" x14ac:dyDescent="0.3">
      <c r="A11">
        <v>2</v>
      </c>
      <c r="B11">
        <v>30</v>
      </c>
      <c r="C11">
        <v>1.8100000000000002E-2</v>
      </c>
      <c r="D11">
        <f t="shared" si="0"/>
        <v>10</v>
      </c>
      <c r="E11">
        <v>0</v>
      </c>
      <c r="F11">
        <v>10</v>
      </c>
    </row>
    <row r="12" spans="1:6" x14ac:dyDescent="0.3">
      <c r="A12">
        <v>29</v>
      </c>
      <c r="B12">
        <v>38</v>
      </c>
      <c r="C12">
        <v>1.5599999999999999E-2</v>
      </c>
      <c r="D12">
        <f t="shared" si="0"/>
        <v>10</v>
      </c>
      <c r="E12">
        <v>0</v>
      </c>
      <c r="F12">
        <v>10</v>
      </c>
    </row>
    <row r="13" spans="1:6" x14ac:dyDescent="0.3">
      <c r="A13">
        <v>19</v>
      </c>
      <c r="B13">
        <v>20</v>
      </c>
      <c r="C13">
        <v>1.38E-2</v>
      </c>
      <c r="D13">
        <f t="shared" si="0"/>
        <v>10</v>
      </c>
      <c r="E13">
        <v>0</v>
      </c>
      <c r="F1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5CA6-9F30-43FA-8884-112259424073}">
  <dimension ref="A1:F2"/>
  <sheetViews>
    <sheetView workbookViewId="0">
      <selection activeCell="D20" sqref="D20"/>
    </sheetView>
  </sheetViews>
  <sheetFormatPr defaultRowHeight="14.4" x14ac:dyDescent="0.3"/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3</v>
      </c>
    </row>
    <row r="2" spans="1:6" x14ac:dyDescent="0.3">
      <c r="A2">
        <v>31</v>
      </c>
      <c r="B2">
        <f>D2/F2</f>
        <v>70</v>
      </c>
      <c r="C2">
        <f>E2/F2</f>
        <v>0</v>
      </c>
      <c r="D2">
        <v>7000</v>
      </c>
      <c r="E2">
        <v>0</v>
      </c>
      <c r="F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D380-0D64-4C3A-97CF-F13842F25F48}">
  <dimension ref="A1:E40"/>
  <sheetViews>
    <sheetView workbookViewId="0">
      <selection activeCell="D32" sqref="D32"/>
    </sheetView>
  </sheetViews>
  <sheetFormatPr defaultRowHeight="14.4" x14ac:dyDescent="0.3"/>
  <sheetData>
    <row r="1" spans="1:5" x14ac:dyDescent="0.3">
      <c r="A1" t="s">
        <v>5</v>
      </c>
      <c r="B1" t="s">
        <v>10</v>
      </c>
      <c r="C1" t="s">
        <v>11</v>
      </c>
      <c r="D1" t="s">
        <v>19</v>
      </c>
      <c r="E1" t="s">
        <v>18</v>
      </c>
    </row>
    <row r="2" spans="1:5" x14ac:dyDescent="0.3">
      <c r="A2">
        <v>1</v>
      </c>
      <c r="B2">
        <f>D2/100</f>
        <v>0</v>
      </c>
      <c r="C2">
        <f>E2/100</f>
        <v>0</v>
      </c>
      <c r="D2">
        <v>0</v>
      </c>
      <c r="E2">
        <v>0</v>
      </c>
    </row>
    <row r="3" spans="1:5" x14ac:dyDescent="0.3">
      <c r="A3">
        <v>2</v>
      </c>
      <c r="B3">
        <f t="shared" ref="B3:B40" si="0">D3/100</f>
        <v>0</v>
      </c>
      <c r="C3">
        <f t="shared" ref="C3:C40" si="1">E3/100</f>
        <v>0</v>
      </c>
      <c r="D3">
        <v>0</v>
      </c>
      <c r="E3">
        <v>0</v>
      </c>
    </row>
    <row r="4" spans="1:5" x14ac:dyDescent="0.3">
      <c r="A4">
        <v>3</v>
      </c>
      <c r="B4">
        <f t="shared" si="0"/>
        <v>0</v>
      </c>
      <c r="C4">
        <f t="shared" si="1"/>
        <v>3.22</v>
      </c>
      <c r="D4">
        <v>0</v>
      </c>
      <c r="E4">
        <v>322</v>
      </c>
    </row>
    <row r="5" spans="1:5" x14ac:dyDescent="0.3">
      <c r="A5">
        <v>4</v>
      </c>
      <c r="B5">
        <f t="shared" si="0"/>
        <v>0</v>
      </c>
      <c r="C5">
        <f t="shared" si="1"/>
        <v>5</v>
      </c>
      <c r="D5">
        <v>0</v>
      </c>
      <c r="E5">
        <v>500</v>
      </c>
    </row>
    <row r="6" spans="1:5" x14ac:dyDescent="0.3">
      <c r="A6">
        <v>5</v>
      </c>
      <c r="B6">
        <f t="shared" si="0"/>
        <v>0</v>
      </c>
      <c r="C6">
        <f t="shared" si="1"/>
        <v>0</v>
      </c>
      <c r="D6">
        <v>0</v>
      </c>
      <c r="E6">
        <v>0</v>
      </c>
    </row>
    <row r="7" spans="1:5" x14ac:dyDescent="0.3">
      <c r="A7">
        <v>6</v>
      </c>
      <c r="B7">
        <f t="shared" si="0"/>
        <v>0</v>
      </c>
      <c r="C7">
        <f t="shared" si="1"/>
        <v>0</v>
      </c>
      <c r="D7">
        <v>0</v>
      </c>
      <c r="E7">
        <v>0</v>
      </c>
    </row>
    <row r="8" spans="1:5" x14ac:dyDescent="0.3">
      <c r="A8">
        <v>7</v>
      </c>
      <c r="B8">
        <f t="shared" si="0"/>
        <v>0</v>
      </c>
      <c r="C8">
        <f t="shared" si="1"/>
        <v>2.3380000000000001</v>
      </c>
      <c r="D8">
        <v>0</v>
      </c>
      <c r="E8">
        <v>233.8</v>
      </c>
    </row>
    <row r="9" spans="1:5" x14ac:dyDescent="0.3">
      <c r="A9">
        <v>8</v>
      </c>
      <c r="B9">
        <f t="shared" si="0"/>
        <v>0</v>
      </c>
      <c r="C9">
        <f t="shared" si="1"/>
        <v>5.22</v>
      </c>
      <c r="D9">
        <v>0</v>
      </c>
      <c r="E9">
        <v>522</v>
      </c>
    </row>
    <row r="10" spans="1:5" x14ac:dyDescent="0.3">
      <c r="A10">
        <v>9</v>
      </c>
      <c r="B10">
        <f t="shared" si="0"/>
        <v>0</v>
      </c>
      <c r="C10">
        <f t="shared" si="1"/>
        <v>0</v>
      </c>
      <c r="D10">
        <v>0</v>
      </c>
      <c r="E10">
        <v>0</v>
      </c>
    </row>
    <row r="11" spans="1:5" x14ac:dyDescent="0.3">
      <c r="A11">
        <v>10</v>
      </c>
      <c r="B11">
        <f t="shared" si="0"/>
        <v>0</v>
      </c>
      <c r="C11">
        <f t="shared" si="1"/>
        <v>0</v>
      </c>
      <c r="D11">
        <v>0</v>
      </c>
      <c r="E11">
        <v>0</v>
      </c>
    </row>
    <row r="12" spans="1:5" x14ac:dyDescent="0.3">
      <c r="A12">
        <v>11</v>
      </c>
      <c r="B12">
        <f t="shared" si="0"/>
        <v>0</v>
      </c>
      <c r="C12">
        <f t="shared" si="1"/>
        <v>0</v>
      </c>
      <c r="D12">
        <v>0</v>
      </c>
      <c r="E12">
        <v>0</v>
      </c>
    </row>
    <row r="13" spans="1:5" x14ac:dyDescent="0.3">
      <c r="A13">
        <v>12</v>
      </c>
      <c r="B13">
        <f t="shared" si="0"/>
        <v>0</v>
      </c>
      <c r="C13">
        <f t="shared" si="1"/>
        <v>7.4999999999999997E-2</v>
      </c>
      <c r="D13">
        <v>0</v>
      </c>
      <c r="E13">
        <v>7.5</v>
      </c>
    </row>
    <row r="14" spans="1:5" x14ac:dyDescent="0.3">
      <c r="A14">
        <v>13</v>
      </c>
      <c r="B14">
        <f t="shared" si="0"/>
        <v>0</v>
      </c>
      <c r="C14">
        <f t="shared" si="1"/>
        <v>0</v>
      </c>
      <c r="D14">
        <v>0</v>
      </c>
      <c r="E14">
        <v>0</v>
      </c>
    </row>
    <row r="15" spans="1:5" x14ac:dyDescent="0.3">
      <c r="A15">
        <v>14</v>
      </c>
      <c r="B15">
        <f t="shared" si="0"/>
        <v>0</v>
      </c>
      <c r="C15">
        <f t="shared" si="1"/>
        <v>0</v>
      </c>
      <c r="D15">
        <v>0</v>
      </c>
      <c r="E15">
        <v>0</v>
      </c>
    </row>
    <row r="16" spans="1:5" x14ac:dyDescent="0.3">
      <c r="A16">
        <v>15</v>
      </c>
      <c r="B16">
        <f t="shared" si="0"/>
        <v>0</v>
      </c>
      <c r="C16">
        <f t="shared" si="1"/>
        <v>3.2</v>
      </c>
      <c r="D16">
        <v>0</v>
      </c>
      <c r="E16">
        <v>320</v>
      </c>
    </row>
    <row r="17" spans="1:5" x14ac:dyDescent="0.3">
      <c r="A17">
        <v>16</v>
      </c>
      <c r="B17">
        <f t="shared" si="0"/>
        <v>0</v>
      </c>
      <c r="C17">
        <f t="shared" si="1"/>
        <v>3.29</v>
      </c>
      <c r="D17">
        <v>0</v>
      </c>
      <c r="E17">
        <v>329</v>
      </c>
    </row>
    <row r="18" spans="1:5" x14ac:dyDescent="0.3">
      <c r="A18">
        <v>17</v>
      </c>
      <c r="B18">
        <f t="shared" si="0"/>
        <v>0</v>
      </c>
      <c r="C18">
        <f t="shared" si="1"/>
        <v>0</v>
      </c>
      <c r="D18">
        <v>0</v>
      </c>
      <c r="E18">
        <v>0</v>
      </c>
    </row>
    <row r="19" spans="1:5" x14ac:dyDescent="0.3">
      <c r="A19">
        <v>18</v>
      </c>
      <c r="B19">
        <f t="shared" si="0"/>
        <v>0</v>
      </c>
      <c r="C19">
        <f t="shared" si="1"/>
        <v>1.58</v>
      </c>
      <c r="D19">
        <v>0</v>
      </c>
      <c r="E19">
        <v>158</v>
      </c>
    </row>
    <row r="20" spans="1:5" x14ac:dyDescent="0.3">
      <c r="A20">
        <v>19</v>
      </c>
      <c r="B20">
        <f t="shared" si="0"/>
        <v>0</v>
      </c>
      <c r="C20">
        <f t="shared" si="1"/>
        <v>0</v>
      </c>
      <c r="D20">
        <v>0</v>
      </c>
      <c r="E20">
        <v>0</v>
      </c>
    </row>
    <row r="21" spans="1:5" x14ac:dyDescent="0.3">
      <c r="A21">
        <v>20</v>
      </c>
      <c r="B21">
        <f t="shared" si="0"/>
        <v>0</v>
      </c>
      <c r="C21">
        <f t="shared" si="1"/>
        <v>6.28</v>
      </c>
      <c r="D21">
        <v>0</v>
      </c>
      <c r="E21">
        <v>628</v>
      </c>
    </row>
    <row r="22" spans="1:5" x14ac:dyDescent="0.3">
      <c r="A22">
        <v>21</v>
      </c>
      <c r="B22">
        <f t="shared" si="0"/>
        <v>0</v>
      </c>
      <c r="C22">
        <f t="shared" si="1"/>
        <v>2.74</v>
      </c>
      <c r="D22">
        <v>0</v>
      </c>
      <c r="E22">
        <v>274</v>
      </c>
    </row>
    <row r="23" spans="1:5" x14ac:dyDescent="0.3">
      <c r="A23">
        <v>22</v>
      </c>
      <c r="B23">
        <f t="shared" si="0"/>
        <v>0</v>
      </c>
      <c r="C23">
        <f t="shared" si="1"/>
        <v>0</v>
      </c>
      <c r="D23">
        <v>0</v>
      </c>
      <c r="E23">
        <v>0</v>
      </c>
    </row>
    <row r="24" spans="1:5" x14ac:dyDescent="0.3">
      <c r="A24">
        <v>23</v>
      </c>
      <c r="B24">
        <f t="shared" si="0"/>
        <v>0</v>
      </c>
      <c r="C24">
        <f t="shared" si="1"/>
        <v>2.4750000000000001</v>
      </c>
      <c r="D24">
        <v>0</v>
      </c>
      <c r="E24">
        <v>247.5</v>
      </c>
    </row>
    <row r="25" spans="1:5" x14ac:dyDescent="0.3">
      <c r="A25">
        <v>24</v>
      </c>
      <c r="B25">
        <f t="shared" si="0"/>
        <v>0</v>
      </c>
      <c r="C25">
        <f t="shared" si="1"/>
        <v>3.0860000000000003</v>
      </c>
      <c r="D25">
        <v>0</v>
      </c>
      <c r="E25">
        <v>308.60000000000002</v>
      </c>
    </row>
    <row r="26" spans="1:5" x14ac:dyDescent="0.3">
      <c r="A26">
        <v>25</v>
      </c>
      <c r="B26">
        <f t="shared" si="0"/>
        <v>0</v>
      </c>
      <c r="C26">
        <f t="shared" si="1"/>
        <v>2.2400000000000002</v>
      </c>
      <c r="D26">
        <v>0</v>
      </c>
      <c r="E26">
        <v>224</v>
      </c>
    </row>
    <row r="27" spans="1:5" x14ac:dyDescent="0.3">
      <c r="A27">
        <v>26</v>
      </c>
      <c r="B27">
        <f t="shared" si="0"/>
        <v>0</v>
      </c>
      <c r="C27">
        <f t="shared" si="1"/>
        <v>1.39</v>
      </c>
      <c r="D27">
        <v>0</v>
      </c>
      <c r="E27">
        <v>139</v>
      </c>
    </row>
    <row r="28" spans="1:5" x14ac:dyDescent="0.3">
      <c r="A28">
        <v>27</v>
      </c>
      <c r="B28">
        <f t="shared" si="0"/>
        <v>0</v>
      </c>
      <c r="C28">
        <f t="shared" si="1"/>
        <v>2.81</v>
      </c>
      <c r="D28">
        <v>0</v>
      </c>
      <c r="E28">
        <v>281</v>
      </c>
    </row>
    <row r="29" spans="1:5" x14ac:dyDescent="0.3">
      <c r="A29">
        <v>28</v>
      </c>
      <c r="B29">
        <f t="shared" si="0"/>
        <v>0</v>
      </c>
      <c r="C29">
        <f t="shared" si="1"/>
        <v>2.06</v>
      </c>
      <c r="D29">
        <v>0</v>
      </c>
      <c r="E29">
        <v>206</v>
      </c>
    </row>
    <row r="30" spans="1:5" x14ac:dyDescent="0.3">
      <c r="A30">
        <v>29</v>
      </c>
      <c r="B30">
        <f t="shared" si="0"/>
        <v>0</v>
      </c>
      <c r="C30">
        <f t="shared" si="1"/>
        <v>2.835</v>
      </c>
      <c r="D30">
        <v>0</v>
      </c>
      <c r="E30">
        <v>283.5</v>
      </c>
    </row>
    <row r="31" spans="1:5" x14ac:dyDescent="0.3">
      <c r="A31">
        <v>30</v>
      </c>
      <c r="B31">
        <f t="shared" si="0"/>
        <v>2.5</v>
      </c>
      <c r="C31">
        <f t="shared" si="1"/>
        <v>0</v>
      </c>
      <c r="D31">
        <v>250</v>
      </c>
      <c r="E31">
        <v>0</v>
      </c>
    </row>
    <row r="32" spans="1:5" x14ac:dyDescent="0.3">
      <c r="A32">
        <v>31</v>
      </c>
      <c r="B32">
        <f t="shared" si="0"/>
        <v>0</v>
      </c>
      <c r="C32">
        <f t="shared" si="1"/>
        <v>9.1999999999999998E-2</v>
      </c>
      <c r="D32">
        <v>0</v>
      </c>
      <c r="E32">
        <v>9.1999999999999993</v>
      </c>
    </row>
    <row r="33" spans="1:5" x14ac:dyDescent="0.3">
      <c r="A33">
        <v>32</v>
      </c>
      <c r="B33">
        <f t="shared" si="0"/>
        <v>6.5</v>
      </c>
      <c r="C33">
        <f t="shared" si="1"/>
        <v>0</v>
      </c>
      <c r="D33">
        <v>650</v>
      </c>
      <c r="E33">
        <v>0</v>
      </c>
    </row>
    <row r="34" spans="1:5" x14ac:dyDescent="0.3">
      <c r="A34">
        <v>33</v>
      </c>
      <c r="B34">
        <f t="shared" si="0"/>
        <v>6.32</v>
      </c>
      <c r="C34">
        <f t="shared" si="1"/>
        <v>0</v>
      </c>
      <c r="D34">
        <v>632</v>
      </c>
      <c r="E34">
        <v>0</v>
      </c>
    </row>
    <row r="35" spans="1:5" x14ac:dyDescent="0.3">
      <c r="A35">
        <v>34</v>
      </c>
      <c r="B35">
        <f t="shared" si="0"/>
        <v>5.08</v>
      </c>
      <c r="C35">
        <f t="shared" si="1"/>
        <v>0</v>
      </c>
      <c r="D35">
        <v>508</v>
      </c>
      <c r="E35">
        <v>0</v>
      </c>
    </row>
    <row r="36" spans="1:5" x14ac:dyDescent="0.3">
      <c r="A36">
        <v>35</v>
      </c>
      <c r="B36">
        <f t="shared" si="0"/>
        <v>6.5</v>
      </c>
      <c r="C36">
        <f t="shared" si="1"/>
        <v>0</v>
      </c>
      <c r="D36">
        <v>650</v>
      </c>
      <c r="E36">
        <v>0</v>
      </c>
    </row>
    <row r="37" spans="1:5" x14ac:dyDescent="0.3">
      <c r="A37">
        <v>36</v>
      </c>
      <c r="B37">
        <f t="shared" si="0"/>
        <v>5.6</v>
      </c>
      <c r="C37">
        <f t="shared" si="1"/>
        <v>0</v>
      </c>
      <c r="D37">
        <v>560</v>
      </c>
      <c r="E37">
        <v>0</v>
      </c>
    </row>
    <row r="38" spans="1:5" x14ac:dyDescent="0.3">
      <c r="A38">
        <v>37</v>
      </c>
      <c r="B38">
        <f t="shared" si="0"/>
        <v>5.4</v>
      </c>
      <c r="C38">
        <f t="shared" si="1"/>
        <v>0</v>
      </c>
      <c r="D38">
        <v>540</v>
      </c>
      <c r="E38">
        <v>0</v>
      </c>
    </row>
    <row r="39" spans="1:5" x14ac:dyDescent="0.3">
      <c r="A39">
        <v>38</v>
      </c>
      <c r="B39">
        <f t="shared" si="0"/>
        <v>8.3000000000000007</v>
      </c>
      <c r="C39">
        <f t="shared" si="1"/>
        <v>0</v>
      </c>
      <c r="D39">
        <v>830</v>
      </c>
      <c r="E39">
        <v>0</v>
      </c>
    </row>
    <row r="40" spans="1:5" x14ac:dyDescent="0.3">
      <c r="A40">
        <v>39</v>
      </c>
      <c r="B40">
        <f t="shared" si="0"/>
        <v>10</v>
      </c>
      <c r="C40">
        <f t="shared" si="1"/>
        <v>11.04</v>
      </c>
      <c r="D40">
        <v>1000</v>
      </c>
      <c r="E40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trafos</vt:lpstr>
      <vt:lpstr>gens</vt:lpstr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Hamdan Rivani</dc:creator>
  <cp:lastModifiedBy>Naufal Hamdan Rivani</cp:lastModifiedBy>
  <dcterms:created xsi:type="dcterms:W3CDTF">2026-06-16T09:16:23Z</dcterms:created>
  <dcterms:modified xsi:type="dcterms:W3CDTF">2026-07-04T18:43:47Z</dcterms:modified>
</cp:coreProperties>
</file>