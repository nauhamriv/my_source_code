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aufa\"/>
    </mc:Choice>
  </mc:AlternateContent>
  <xr:revisionPtr revIDLastSave="0" documentId="13_ncr:1_{55B75A1D-6924-4BEA-A23F-426CC9F023B4}" xr6:coauthVersionLast="47" xr6:coauthVersionMax="47" xr10:uidLastSave="{00000000-0000-0000-0000-000000000000}"/>
  <bookViews>
    <workbookView xWindow="11424" yWindow="0" windowWidth="11712" windowHeight="12336" xr2:uid="{57AE9C7F-5BC3-4F84-B91D-49FB34413C8A}"/>
  </bookViews>
  <sheets>
    <sheet name="bus" sheetId="1" r:id="rId1"/>
    <sheet name="gen" sheetId="2" r:id="rId2"/>
    <sheet name="trafo" sheetId="3" r:id="rId3"/>
    <sheet name="line" sheetId="4" r:id="rId4"/>
    <sheet name="load" sheetId="5" r:id="rId5"/>
    <sheet name="grid" sheetId="6" r:id="rId6"/>
    <sheet name="shunt" sheetId="7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2" i="4"/>
  <c r="D2" i="7"/>
</calcChain>
</file>

<file path=xl/sharedStrings.xml><?xml version="1.0" encoding="utf-8"?>
<sst xmlns="http://schemas.openxmlformats.org/spreadsheetml/2006/main" count="350" uniqueCount="184">
  <si>
    <t>name</t>
  </si>
  <si>
    <t>no</t>
  </si>
  <si>
    <t>vn_kv</t>
  </si>
  <si>
    <t>type</t>
  </si>
  <si>
    <t>in_service</t>
  </si>
  <si>
    <t>min_vm_pu</t>
  </si>
  <si>
    <t>max_vm_pu</t>
  </si>
  <si>
    <t>bus2</t>
  </si>
  <si>
    <t>bus1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</si>
  <si>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</si>
  <si>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</si>
  <si>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</si>
  <si>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</si>
  <si>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</si>
  <si>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</si>
  <si>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</si>
  <si>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</si>
  <si>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</si>
  <si>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</si>
  <si>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</si>
  <si>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</si>
  <si>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</t>
  </si>
  <si>
    <t>bus</t>
  </si>
  <si>
    <t>p_mw</t>
  </si>
  <si>
    <t>vm_pu</t>
  </si>
  <si>
    <t>sn_mva</t>
  </si>
  <si>
    <t>min_q_mvar</t>
  </si>
  <si>
    <t>max_q_mvar</t>
  </si>
  <si>
    <t>controllable</t>
  </si>
  <si>
    <t>min_p_mw</t>
  </si>
  <si>
    <t>max_p_mw</t>
  </si>
  <si>
    <t>gen3</t>
  </si>
  <si>
    <t>gen4</t>
  </si>
  <si>
    <t>gen5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</si>
  <si>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</si>
  <si>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</si>
  <si>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</si>
  <si>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</si>
  <si>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</si>
  <si>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</si>
  <si>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</si>
  <si>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</si>
  <si>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vector_group</t>
  </si>
  <si>
    <t>vk0_percent</t>
  </si>
  <si>
    <t>shift_degree</t>
  </si>
  <si>
    <t>tap_side</t>
  </si>
  <si>
    <t>tap_neutral</t>
  </si>
  <si>
    <t>tap_max</t>
  </si>
  <si>
    <t>tap_min</t>
  </si>
  <si>
    <t>tap_step_percent</t>
  </si>
  <si>
    <t>max_loading_percent</t>
  </si>
  <si>
    <t>trafo1</t>
  </si>
  <si>
    <t>trafo2</t>
  </si>
  <si>
    <t>trafo3</t>
  </si>
  <si>
    <t>trafo4</t>
  </si>
  <si>
    <t>trafo5</t>
  </si>
  <si>
    <t>hv</t>
  </si>
  <si>
    <t>from_bus</t>
  </si>
  <si>
    <t>to_bus</t>
  </si>
  <si>
    <t>length_km</t>
  </si>
  <si>
    <t>r_ohm_per_km</t>
  </si>
  <si>
    <t>x_ohm_per_km</t>
  </si>
  <si>
    <t>c_nf_per_km</t>
  </si>
  <si>
    <t>max_i_ka</t>
  </si>
  <si>
    <t>ol</t>
  </si>
  <si>
    <t>q_mvar</t>
  </si>
  <si>
    <t>load2</t>
  </si>
  <si>
    <t>load3</t>
  </si>
  <si>
    <t>load4</t>
  </si>
  <si>
    <t>load5</t>
  </si>
  <si>
    <t>load6</t>
  </si>
  <si>
    <t>load9</t>
  </si>
  <si>
    <t>load10</t>
  </si>
  <si>
    <t>load11</t>
  </si>
  <si>
    <t>load12</t>
  </si>
  <si>
    <t>load13</t>
  </si>
  <si>
    <t>load14</t>
  </si>
  <si>
    <t>wye</t>
  </si>
  <si>
    <t>load7</t>
  </si>
  <si>
    <t>load8</t>
  </si>
  <si>
    <t>va_degree</t>
  </si>
  <si>
    <t>grid</t>
  </si>
  <si>
    <t>cap1</t>
  </si>
  <si>
    <t>step</t>
  </si>
  <si>
    <t>max_step</t>
  </si>
  <si>
    <t>bus15</t>
  </si>
  <si>
    <t>bus16</t>
  </si>
  <si>
    <t>bus17</t>
  </si>
  <si>
    <t>bus18</t>
  </si>
  <si>
    <t>bus19</t>
  </si>
  <si>
    <t>bus20</t>
  </si>
  <si>
    <t>bus21</t>
  </si>
  <si>
    <t>bus22</t>
  </si>
  <si>
    <t>bus23</t>
  </si>
  <si>
    <t>bus24</t>
  </si>
  <si>
    <t>bus25</t>
  </si>
  <si>
    <t>bus26</t>
  </si>
  <si>
    <t>bus27</t>
  </si>
  <si>
    <t>bus28</t>
  </si>
  <si>
    <t>bus29</t>
  </si>
  <si>
    <t>bus30</t>
  </si>
  <si>
    <t>bus31</t>
  </si>
  <si>
    <t>bus32</t>
  </si>
  <si>
    <t>bus33</t>
  </si>
  <si>
    <t>bus34</t>
  </si>
  <si>
    <t>bus35</t>
  </si>
  <si>
    <t>bus36</t>
  </si>
  <si>
    <t>bus37</t>
  </si>
  <si>
    <t>bus38</t>
  </si>
  <si>
    <t>bus39</t>
  </si>
  <si>
    <t>load1</t>
  </si>
  <si>
    <t>load15</t>
  </si>
  <si>
    <t>load16</t>
  </si>
  <si>
    <t>load17</t>
  </si>
  <si>
    <t>load18</t>
  </si>
  <si>
    <t>load19</t>
  </si>
  <si>
    <t>load20</t>
  </si>
  <si>
    <t>load21</t>
  </si>
  <si>
    <t>load22</t>
  </si>
  <si>
    <t>load23</t>
  </si>
  <si>
    <t>load24</t>
  </si>
  <si>
    <t>load25</t>
  </si>
  <si>
    <t>load26</t>
  </si>
  <si>
    <t>load27</t>
  </si>
  <si>
    <t>load28</t>
  </si>
  <si>
    <t>load29</t>
  </si>
  <si>
    <t>load30</t>
  </si>
  <si>
    <t>load31</t>
  </si>
  <si>
    <t>load32</t>
  </si>
  <si>
    <t>load33</t>
  </si>
  <si>
    <t>load34</t>
  </si>
  <si>
    <t>load35</t>
  </si>
  <si>
    <t>load36</t>
  </si>
  <si>
    <t>load37</t>
  </si>
  <si>
    <t>load38</t>
  </si>
  <si>
    <t>load39</t>
  </si>
  <si>
    <t>gen1</t>
  </si>
  <si>
    <t>gen6</t>
  </si>
  <si>
    <t>gen7</t>
  </si>
  <si>
    <t>gen8</t>
  </si>
  <si>
    <t>gen9</t>
  </si>
  <si>
    <t>gen10</t>
  </si>
  <si>
    <t>trafo6</t>
  </si>
  <si>
    <t>trafo7</t>
  </si>
  <si>
    <t>trafo8</t>
  </si>
  <si>
    <t>trafo9</t>
  </si>
  <si>
    <t>trafo10</t>
  </si>
  <si>
    <t>trafo11</t>
  </si>
  <si>
    <t>trafo12</t>
  </si>
  <si>
    <t>Yny</t>
  </si>
  <si>
    <t>Line 01 - 02</t>
  </si>
  <si>
    <t>Line 01 - 39</t>
  </si>
  <si>
    <t>Line 02 - 03</t>
  </si>
  <si>
    <t>Line 02 - 25</t>
  </si>
  <si>
    <t>Line 03 - 04</t>
  </si>
  <si>
    <t>Line 03 - 18</t>
  </si>
  <si>
    <t>Line 04 - 05</t>
  </si>
  <si>
    <t>Line 04 - 14</t>
  </si>
  <si>
    <t>Line 05 - 06</t>
  </si>
  <si>
    <t>Line 05 - 08</t>
  </si>
  <si>
    <t>Line 06 - 07</t>
  </si>
  <si>
    <t>Line 06 - 11</t>
  </si>
  <si>
    <t>Line 07 - 08</t>
  </si>
  <si>
    <t>Line 08 - 09</t>
  </si>
  <si>
    <t>Line 09 - 39</t>
  </si>
  <si>
    <t>Line 10 - 11</t>
  </si>
  <si>
    <t>Line 10 - 13</t>
  </si>
  <si>
    <t>Line 13 - 14</t>
  </si>
  <si>
    <t>Line 14 - 15</t>
  </si>
  <si>
    <t>Line 15 - 16</t>
  </si>
  <si>
    <t>Line 16 - 17</t>
  </si>
  <si>
    <t>Line 16 - 19</t>
  </si>
  <si>
    <t>Line 16 - 21</t>
  </si>
  <si>
    <t>Line 16 - 24</t>
  </si>
  <si>
    <t>Line 17 - 18</t>
  </si>
  <si>
    <t>Line 17 - 27</t>
  </si>
  <si>
    <t>Line 21 - 22</t>
  </si>
  <si>
    <t>Line 22 - 23</t>
  </si>
  <si>
    <t>Line 23 - 24</t>
  </si>
  <si>
    <t>Line 25 - 26</t>
  </si>
  <si>
    <t>Line 26 - 27</t>
  </si>
  <si>
    <t>Line 26 - 28</t>
  </si>
  <si>
    <t>Line 26 - 29</t>
  </si>
  <si>
    <t>Line 28 - 29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</si>
</sst>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#,##0.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B3BC-2E6F-4B91-8DFB-829546BECCA3}">
  <sheetPr codeName="Sheet1"/>
  <dimension ref="A1:G40"/>
  <sheetViews>
    <sheetView tabSelected="1" topLeftCell="A28" workbookViewId="0">
      <selection activeCell="D36" sqref="D36"/>
    </sheetView>
  </sheetViews>
  <sheetFormatPr defaultRowHeight="14.4" x14ac:dyDescent="0.3"/>
  <sheetData>
    <row r="1" spans="1:7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8</v>
      </c>
      <c r="C2">
        <v>345</v>
      </c>
      <c r="D2" t="s">
        <v>21</v>
      </c>
      <c r="E2" t="b">
        <v>1</v>
      </c>
      <c r="F2">
        <v>0.9</v>
      </c>
      <c r="G2">
        <v>1.1000000000000001</v>
      </c>
    </row>
    <row r="3" spans="1:7" x14ac:dyDescent="0.3">
      <c r="A3">
        <v>2</v>
      </c>
      <c r="B3" t="s">
        <v>7</v>
      </c>
      <c r="C3">
        <v>345</v>
      </c>
      <c r="D3" t="s">
        <v>21</v>
      </c>
      <c r="E3" t="b">
        <v>1</v>
      </c>
      <c r="F3">
        <v>0.9</v>
      </c>
      <c r="G3">
        <v>1.1000000000000001</v>
      </c>
    </row>
    <row r="4" spans="1:7" x14ac:dyDescent="0.3">
      <c r="A4">
        <v>3</v>
      </c>
      <c r="B4" t="s">
        <v>9</v>
      </c>
      <c r="C4">
        <v>345</v>
      </c>
      <c r="D4" t="s">
        <v>21</v>
      </c>
      <c r="E4" t="b">
        <v>1</v>
      </c>
      <c r="F4">
        <v>0.9</v>
      </c>
      <c r="G4">
        <v>1.1000000000000001</v>
      </c>
    </row>
    <row r="5" spans="1:7" x14ac:dyDescent="0.3">
      <c r="A5">
        <v>4</v>
      </c>
      <c r="B5" t="s">
        <v>10</v>
      </c>
      <c r="C5">
        <v>345</v>
      </c>
      <c r="D5" t="s">
        <v>21</v>
      </c>
      <c r="E5" t="b">
        <v>1</v>
      </c>
      <c r="F5">
        <v>0.9</v>
      </c>
      <c r="G5">
        <v>1.1000000000000001</v>
      </c>
    </row>
    <row r="6" spans="1:7" x14ac:dyDescent="0.3">
      <c r="A6">
        <v>5</v>
      </c>
      <c r="B6" t="s">
        <v>11</v>
      </c>
      <c r="C6">
        <v>345</v>
      </c>
      <c r="D6" t="s">
        <v>21</v>
      </c>
      <c r="E6" t="b">
        <v>1</v>
      </c>
      <c r="F6">
        <v>0.9</v>
      </c>
      <c r="G6">
        <v>1.1000000000000001</v>
      </c>
    </row>
    <row r="7" spans="1:7" x14ac:dyDescent="0.3">
      <c r="A7">
        <v>6</v>
      </c>
      <c r="B7" t="s">
        <v>12</v>
      </c>
      <c r="C7">
        <v>345</v>
      </c>
      <c r="D7" t="s">
        <v>21</v>
      </c>
      <c r="E7" t="b">
        <v>1</v>
      </c>
      <c r="F7">
        <v>0.9</v>
      </c>
      <c r="G7">
        <v>1.1000000000000001</v>
      </c>
    </row>
    <row r="8" spans="1:7" x14ac:dyDescent="0.3">
      <c r="A8">
        <v>7</v>
      </c>
      <c r="B8" t="s">
        <v>13</v>
      </c>
      <c r="C8">
        <v>345</v>
      </c>
      <c r="D8" t="s">
        <v>21</v>
      </c>
      <c r="E8" t="b">
        <v>1</v>
      </c>
      <c r="F8">
        <v>0.9</v>
      </c>
      <c r="G8">
        <v>1.1000000000000001</v>
      </c>
    </row>
    <row r="9" spans="1:7" x14ac:dyDescent="0.3">
      <c r="A9">
        <v>8</v>
      </c>
      <c r="B9" t="s">
        <v>14</v>
      </c>
      <c r="C9">
        <v>345</v>
      </c>
      <c r="D9" t="s">
        <v>21</v>
      </c>
      <c r="E9" t="b">
        <v>1</v>
      </c>
      <c r="F9">
        <v>0.9</v>
      </c>
      <c r="G9">
        <v>1.1000000000000001</v>
      </c>
    </row>
    <row r="10" spans="1:7" x14ac:dyDescent="0.3">
      <c r="A10">
        <v>9</v>
      </c>
      <c r="B10" t="s">
        <v>15</v>
      </c>
      <c r="C10">
        <v>345</v>
      </c>
      <c r="D10" t="s">
        <v>21</v>
      </c>
      <c r="E10" t="b">
        <v>1</v>
      </c>
      <c r="F10">
        <v>0.9</v>
      </c>
      <c r="G10">
        <v>1.1000000000000001</v>
      </c>
    </row>
    <row r="11" spans="1:7" x14ac:dyDescent="0.3">
      <c r="A11">
        <v>10</v>
      </c>
      <c r="B11" t="s">
        <v>16</v>
      </c>
      <c r="C11">
        <v>345</v>
      </c>
      <c r="D11" t="s">
        <v>21</v>
      </c>
      <c r="E11" t="b">
        <v>1</v>
      </c>
      <c r="F11">
        <v>0.9</v>
      </c>
      <c r="G11">
        <v>1.1000000000000001</v>
      </c>
    </row>
    <row r="12" spans="1:7" x14ac:dyDescent="0.3">
      <c r="A12">
        <v>11</v>
      </c>
      <c r="B12" t="s">
        <v>17</v>
      </c>
      <c r="C12">
        <v>345</v>
      </c>
      <c r="D12" t="s">
        <v>21</v>
      </c>
      <c r="E12" t="b">
        <v>1</v>
      </c>
      <c r="F12">
        <v>0.9</v>
      </c>
      <c r="G12">
        <v>1.1000000000000001</v>
      </c>
    </row>
    <row r="13" spans="1:7" x14ac:dyDescent="0.3">
      <c r="A13">
        <v>12</v>
      </c>
      <c r="B13" t="s">
        <v>18</v>
      </c>
      <c r="C13">
        <v>138</v>
      </c>
      <c r="D13" t="s">
        <v>21</v>
      </c>
      <c r="E13" t="b">
        <v>1</v>
      </c>
      <c r="F13">
        <v>0.9</v>
      </c>
      <c r="G13">
        <v>1.1000000000000001</v>
      </c>
    </row>
    <row r="14" spans="1:7" x14ac:dyDescent="0.3">
      <c r="A14">
        <v>13</v>
      </c>
      <c r="B14" t="s">
        <v>19</v>
      </c>
      <c r="C14">
        <v>345</v>
      </c>
      <c r="D14" t="s">
        <v>21</v>
      </c>
      <c r="E14" t="b">
        <v>1</v>
      </c>
      <c r="F14">
        <v>0.9</v>
      </c>
      <c r="G14">
        <v>1.1000000000000001</v>
      </c>
    </row>
    <row r="15" spans="1:7" x14ac:dyDescent="0.3">
      <c r="A15">
        <v>14</v>
      </c>
      <c r="B15" t="s">
        <v>20</v>
      </c>
      <c r="C15">
        <v>345</v>
      </c>
      <c r="D15" t="s">
        <v>21</v>
      </c>
      <c r="E15" t="b">
        <v>1</v>
      </c>
      <c r="F15">
        <v>0.9</v>
      </c>
      <c r="G15">
        <v>1.1000000000000001</v>
      </c>
    </row>
    <row r="16" spans="1:7" x14ac:dyDescent="0.3">
      <c r="A16">
        <v>15</v>
      </c>
      <c r="B16" t="s">
        <v>85</v>
      </c>
      <c r="C16">
        <v>345</v>
      </c>
      <c r="D16" t="s">
        <v>21</v>
      </c>
      <c r="E16" t="b">
        <v>1</v>
      </c>
      <c r="F16">
        <v>0.9</v>
      </c>
      <c r="G16">
        <v>1.1000000000000001</v>
      </c>
    </row>
    <row r="17" spans="1:7" x14ac:dyDescent="0.3">
      <c r="A17">
        <v>16</v>
      </c>
      <c r="B17" t="s">
        <v>86</v>
      </c>
      <c r="C17">
        <v>345</v>
      </c>
      <c r="D17" t="s">
        <v>21</v>
      </c>
      <c r="E17" t="b">
        <v>1</v>
      </c>
      <c r="F17">
        <v>0.9</v>
      </c>
      <c r="G17">
        <v>1.1000000000000001</v>
      </c>
    </row>
    <row r="18" spans="1:7" x14ac:dyDescent="0.3">
      <c r="A18">
        <v>17</v>
      </c>
      <c r="B18" t="s">
        <v>87</v>
      </c>
      <c r="C18">
        <v>345</v>
      </c>
      <c r="D18" t="s">
        <v>21</v>
      </c>
      <c r="E18" t="b">
        <v>1</v>
      </c>
      <c r="F18">
        <v>0.9</v>
      </c>
      <c r="G18">
        <v>1.1000000000000001</v>
      </c>
    </row>
    <row r="19" spans="1:7" x14ac:dyDescent="0.3">
      <c r="A19">
        <v>18</v>
      </c>
      <c r="B19" t="s">
        <v>88</v>
      </c>
      <c r="C19">
        <v>345</v>
      </c>
      <c r="D19" t="s">
        <v>21</v>
      </c>
      <c r="E19" t="b">
        <v>1</v>
      </c>
      <c r="F19">
        <v>0.9</v>
      </c>
      <c r="G19">
        <v>1.1000000000000001</v>
      </c>
    </row>
    <row r="20" spans="1:7" x14ac:dyDescent="0.3">
      <c r="A20">
        <v>19</v>
      </c>
      <c r="B20" t="s">
        <v>89</v>
      </c>
      <c r="C20">
        <v>345</v>
      </c>
      <c r="D20" t="s">
        <v>21</v>
      </c>
      <c r="E20" t="b">
        <v>1</v>
      </c>
      <c r="F20">
        <v>0.9</v>
      </c>
      <c r="G20">
        <v>1.1000000000000001</v>
      </c>
    </row>
    <row r="21" spans="1:7" x14ac:dyDescent="0.3">
      <c r="A21">
        <v>20</v>
      </c>
      <c r="B21" t="s">
        <v>90</v>
      </c>
      <c r="C21">
        <v>230</v>
      </c>
      <c r="D21" t="s">
        <v>21</v>
      </c>
      <c r="E21" t="b">
        <v>1</v>
      </c>
      <c r="F21">
        <v>0.9</v>
      </c>
      <c r="G21">
        <v>1.1000000000000001</v>
      </c>
    </row>
    <row r="22" spans="1:7" x14ac:dyDescent="0.3">
      <c r="A22">
        <v>21</v>
      </c>
      <c r="B22" t="s">
        <v>91</v>
      </c>
      <c r="C22">
        <v>345</v>
      </c>
      <c r="D22" t="s">
        <v>21</v>
      </c>
      <c r="E22" t="b">
        <v>1</v>
      </c>
      <c r="F22">
        <v>0.9</v>
      </c>
      <c r="G22">
        <v>1.1000000000000001</v>
      </c>
    </row>
    <row r="23" spans="1:7" x14ac:dyDescent="0.3">
      <c r="A23">
        <v>22</v>
      </c>
      <c r="B23" t="s">
        <v>92</v>
      </c>
      <c r="C23">
        <v>345</v>
      </c>
      <c r="D23" t="s">
        <v>21</v>
      </c>
      <c r="E23" t="b">
        <v>1</v>
      </c>
      <c r="F23">
        <v>0.9</v>
      </c>
      <c r="G23">
        <v>1.1000000000000001</v>
      </c>
    </row>
    <row r="24" spans="1:7" x14ac:dyDescent="0.3">
      <c r="A24">
        <v>23</v>
      </c>
      <c r="B24" t="s">
        <v>93</v>
      </c>
      <c r="C24">
        <v>345</v>
      </c>
      <c r="D24" t="s">
        <v>21</v>
      </c>
      <c r="E24" t="b">
        <v>1</v>
      </c>
      <c r="F24">
        <v>0.9</v>
      </c>
      <c r="G24">
        <v>1.1000000000000001</v>
      </c>
    </row>
    <row r="25" spans="1:7" x14ac:dyDescent="0.3">
      <c r="A25">
        <v>24</v>
      </c>
      <c r="B25" t="s">
        <v>94</v>
      </c>
      <c r="C25">
        <v>345</v>
      </c>
      <c r="D25" t="s">
        <v>21</v>
      </c>
      <c r="E25" t="b">
        <v>1</v>
      </c>
      <c r="F25">
        <v>0.9</v>
      </c>
      <c r="G25">
        <v>1.1000000000000001</v>
      </c>
    </row>
    <row r="26" spans="1:7" x14ac:dyDescent="0.3">
      <c r="A26">
        <v>25</v>
      </c>
      <c r="B26" t="s">
        <v>95</v>
      </c>
      <c r="C26">
        <v>345</v>
      </c>
      <c r="D26" t="s">
        <v>21</v>
      </c>
      <c r="E26" t="b">
        <v>1</v>
      </c>
      <c r="F26">
        <v>0.9</v>
      </c>
      <c r="G26">
        <v>1.1000000000000001</v>
      </c>
    </row>
    <row r="27" spans="1:7" x14ac:dyDescent="0.3">
      <c r="A27">
        <v>26</v>
      </c>
      <c r="B27" t="s">
        <v>96</v>
      </c>
      <c r="C27">
        <v>345</v>
      </c>
      <c r="D27" t="s">
        <v>21</v>
      </c>
      <c r="E27" t="b">
        <v>1</v>
      </c>
      <c r="F27">
        <v>0.9</v>
      </c>
      <c r="G27">
        <v>1.1000000000000001</v>
      </c>
    </row>
    <row r="28" spans="1:7" x14ac:dyDescent="0.3">
      <c r="A28">
        <v>27</v>
      </c>
      <c r="B28" t="s">
        <v>97</v>
      </c>
      <c r="C28">
        <v>345</v>
      </c>
      <c r="D28" t="s">
        <v>21</v>
      </c>
      <c r="E28" t="b">
        <v>1</v>
      </c>
      <c r="F28">
        <v>0.9</v>
      </c>
      <c r="G28">
        <v>1.1000000000000001</v>
      </c>
    </row>
    <row r="29" spans="1:7" x14ac:dyDescent="0.3">
      <c r="A29">
        <v>28</v>
      </c>
      <c r="B29" t="s">
        <v>98</v>
      </c>
      <c r="C29">
        <v>345</v>
      </c>
      <c r="D29" t="s">
        <v>21</v>
      </c>
      <c r="E29" t="b">
        <v>1</v>
      </c>
      <c r="F29">
        <v>0.9</v>
      </c>
      <c r="G29">
        <v>1.1000000000000001</v>
      </c>
    </row>
    <row r="30" spans="1:7" x14ac:dyDescent="0.3">
      <c r="A30">
        <v>29</v>
      </c>
      <c r="B30" t="s">
        <v>99</v>
      </c>
      <c r="C30">
        <v>345</v>
      </c>
      <c r="D30" t="s">
        <v>21</v>
      </c>
      <c r="E30" t="b">
        <v>1</v>
      </c>
      <c r="F30">
        <v>0.9</v>
      </c>
      <c r="G30">
        <v>1.1000000000000001</v>
      </c>
    </row>
    <row r="31" spans="1:7" x14ac:dyDescent="0.3">
      <c r="A31">
        <v>30</v>
      </c>
      <c r="B31" t="s">
        <v>100</v>
      </c>
      <c r="C31">
        <v>16.05</v>
      </c>
      <c r="D31" t="s">
        <v>21</v>
      </c>
      <c r="E31" t="b">
        <v>1</v>
      </c>
      <c r="F31">
        <v>0.9</v>
      </c>
      <c r="G31">
        <v>1.1000000000000001</v>
      </c>
    </row>
    <row r="32" spans="1:7" x14ac:dyDescent="0.3">
      <c r="A32">
        <v>31</v>
      </c>
      <c r="B32" t="s">
        <v>101</v>
      </c>
      <c r="C32">
        <v>16.05</v>
      </c>
      <c r="D32" t="s">
        <v>21</v>
      </c>
      <c r="E32" t="b">
        <v>1</v>
      </c>
      <c r="F32">
        <v>0.9</v>
      </c>
      <c r="G32">
        <v>1.1000000000000001</v>
      </c>
    </row>
    <row r="33" spans="1:7" x14ac:dyDescent="0.3">
      <c r="A33">
        <v>32</v>
      </c>
      <c r="B33" t="s">
        <v>102</v>
      </c>
      <c r="C33">
        <v>16.05</v>
      </c>
      <c r="D33" t="s">
        <v>21</v>
      </c>
      <c r="E33" t="b">
        <v>1</v>
      </c>
      <c r="F33">
        <v>0.9</v>
      </c>
      <c r="G33">
        <v>1.1000000000000001</v>
      </c>
    </row>
    <row r="34" spans="1:7" x14ac:dyDescent="0.3">
      <c r="A34">
        <v>33</v>
      </c>
      <c r="B34" t="s">
        <v>103</v>
      </c>
      <c r="C34">
        <v>16.05</v>
      </c>
      <c r="D34" t="s">
        <v>21</v>
      </c>
      <c r="E34" t="b">
        <v>1</v>
      </c>
      <c r="F34">
        <v>0.9</v>
      </c>
      <c r="G34">
        <v>1.1000000000000001</v>
      </c>
    </row>
    <row r="35" spans="1:7" x14ac:dyDescent="0.3">
      <c r="A35">
        <v>34</v>
      </c>
      <c r="B35" t="s">
        <v>104</v>
      </c>
      <c r="C35">
        <v>16.05</v>
      </c>
      <c r="D35" t="s">
        <v>21</v>
      </c>
      <c r="E35" t="b">
        <v>1</v>
      </c>
      <c r="F35">
        <v>0.9</v>
      </c>
      <c r="G35">
        <v>1.1000000000000001</v>
      </c>
    </row>
    <row r="36" spans="1:7" x14ac:dyDescent="0.3">
      <c r="A36">
        <v>35</v>
      </c>
      <c r="B36" t="s">
        <v>105</v>
      </c>
      <c r="C36">
        <v>16.05</v>
      </c>
      <c r="D36" t="s">
        <v>21</v>
      </c>
      <c r="E36" t="b">
        <v>1</v>
      </c>
      <c r="F36">
        <v>0.9</v>
      </c>
      <c r="G36">
        <v>1.1000000000000001</v>
      </c>
    </row>
    <row r="37" spans="1:7" x14ac:dyDescent="0.3">
      <c r="A37">
        <v>36</v>
      </c>
      <c r="B37" t="s">
        <v>106</v>
      </c>
      <c r="C37">
        <v>16.05</v>
      </c>
      <c r="D37" t="s">
        <v>21</v>
      </c>
      <c r="E37" t="b">
        <v>1</v>
      </c>
      <c r="F37">
        <v>0.9</v>
      </c>
      <c r="G37">
        <v>1.1000000000000001</v>
      </c>
    </row>
    <row r="38" spans="1:7" x14ac:dyDescent="0.3">
      <c r="A38">
        <v>37</v>
      </c>
      <c r="B38" t="s">
        <v>107</v>
      </c>
      <c r="C38">
        <v>16.05</v>
      </c>
      <c r="D38" t="s">
        <v>21</v>
      </c>
      <c r="E38" t="b">
        <v>1</v>
      </c>
      <c r="F38">
        <v>0.9</v>
      </c>
      <c r="G38">
        <v>1.1000000000000001</v>
      </c>
    </row>
    <row r="39" spans="1:7" x14ac:dyDescent="0.3">
      <c r="A39">
        <v>38</v>
      </c>
      <c r="B39" t="s">
        <v>108</v>
      </c>
      <c r="C39">
        <v>16.05</v>
      </c>
      <c r="D39" t="s">
        <v>21</v>
      </c>
      <c r="E39" t="b">
        <v>1</v>
      </c>
      <c r="F39">
        <v>0.9</v>
      </c>
      <c r="G39">
        <v>1.1000000000000001</v>
      </c>
    </row>
    <row r="40" spans="1:7" x14ac:dyDescent="0.3">
      <c r="A40">
        <v>39</v>
      </c>
      <c r="B40" t="s">
        <v>109</v>
      </c>
      <c r="C40">
        <v>345</v>
      </c>
      <c r="D40" t="s">
        <v>21</v>
      </c>
      <c r="E40" t="b">
        <v>1</v>
      </c>
      <c r="F40">
        <v>0.9</v>
      </c>
      <c r="G40">
        <v>1.1000000000000001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2DB0-DFD3-46D0-9BDC-A3F7795D0671}">
  <sheetPr codeName="Sheet2"/>
  <dimension ref="A1:L10"/>
  <sheetViews>
    <sheetView topLeftCell="C1" workbookViewId="0">
      <selection activeCell="F17" sqref="F17"/>
    </sheetView>
  </sheetViews>
  <sheetFormatPr defaultRowHeight="14.4" x14ac:dyDescent="0.3"/>
  <sheetData>
    <row r="1" spans="1:12" x14ac:dyDescent="0.3">
      <c r="A1" t="s">
        <v>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4</v>
      </c>
      <c r="K1" t="s">
        <v>29</v>
      </c>
      <c r="L1" t="s">
        <v>30</v>
      </c>
    </row>
    <row r="2" spans="1:12" x14ac:dyDescent="0.3">
      <c r="A2">
        <v>1</v>
      </c>
      <c r="B2" t="s">
        <v>136</v>
      </c>
      <c r="C2">
        <v>38</v>
      </c>
      <c r="D2">
        <v>1000</v>
      </c>
      <c r="E2" s="1">
        <v>1.03</v>
      </c>
      <c r="F2">
        <v>10000</v>
      </c>
      <c r="G2">
        <v>-3000</v>
      </c>
      <c r="H2">
        <v>7000</v>
      </c>
      <c r="I2" t="b">
        <v>0</v>
      </c>
      <c r="J2" t="b">
        <v>1</v>
      </c>
      <c r="K2">
        <v>0</v>
      </c>
      <c r="L2">
        <v>8500</v>
      </c>
    </row>
    <row r="3" spans="1:12" x14ac:dyDescent="0.3">
      <c r="A3">
        <v>2</v>
      </c>
      <c r="B3" t="s">
        <v>31</v>
      </c>
      <c r="C3">
        <v>31</v>
      </c>
      <c r="D3">
        <v>650</v>
      </c>
      <c r="E3" s="1">
        <v>0.98309999999999997</v>
      </c>
      <c r="F3">
        <v>800</v>
      </c>
      <c r="G3">
        <v>-240</v>
      </c>
      <c r="H3">
        <v>560</v>
      </c>
      <c r="I3" t="b">
        <v>0</v>
      </c>
      <c r="J3" t="b">
        <v>1</v>
      </c>
      <c r="K3">
        <v>200</v>
      </c>
      <c r="L3">
        <v>680</v>
      </c>
    </row>
    <row r="4" spans="1:12" x14ac:dyDescent="0.3">
      <c r="A4">
        <v>3</v>
      </c>
      <c r="B4" t="s">
        <v>32</v>
      </c>
      <c r="C4">
        <v>32</v>
      </c>
      <c r="D4">
        <v>632</v>
      </c>
      <c r="E4" s="1">
        <v>0.99719999999999998</v>
      </c>
      <c r="F4">
        <v>800</v>
      </c>
      <c r="G4">
        <v>-240</v>
      </c>
      <c r="H4">
        <v>560</v>
      </c>
      <c r="I4" t="b">
        <v>0</v>
      </c>
      <c r="J4" t="b">
        <v>1</v>
      </c>
      <c r="K4">
        <v>200</v>
      </c>
      <c r="L4">
        <v>680</v>
      </c>
    </row>
    <row r="5" spans="1:12" x14ac:dyDescent="0.3">
      <c r="A5">
        <v>4</v>
      </c>
      <c r="B5" t="s">
        <v>33</v>
      </c>
      <c r="C5">
        <v>33</v>
      </c>
      <c r="D5">
        <v>508</v>
      </c>
      <c r="E5" s="1">
        <v>1.0123</v>
      </c>
      <c r="F5">
        <v>300</v>
      </c>
      <c r="G5">
        <v>-90</v>
      </c>
      <c r="H5">
        <v>210</v>
      </c>
      <c r="I5" t="b">
        <v>0</v>
      </c>
      <c r="J5" t="b">
        <v>1</v>
      </c>
      <c r="K5">
        <v>70</v>
      </c>
      <c r="L5">
        <v>255</v>
      </c>
    </row>
    <row r="6" spans="1:12" x14ac:dyDescent="0.3">
      <c r="A6">
        <v>5</v>
      </c>
      <c r="B6" t="s">
        <v>137</v>
      </c>
      <c r="C6">
        <v>34</v>
      </c>
      <c r="D6">
        <v>650</v>
      </c>
      <c r="E6" s="1">
        <v>1.0492999999999999</v>
      </c>
      <c r="F6">
        <v>800</v>
      </c>
      <c r="G6">
        <v>-240</v>
      </c>
      <c r="H6">
        <v>560</v>
      </c>
      <c r="I6" t="b">
        <v>0</v>
      </c>
      <c r="J6" t="b">
        <v>1</v>
      </c>
      <c r="K6">
        <v>200</v>
      </c>
      <c r="L6">
        <v>680</v>
      </c>
    </row>
    <row r="7" spans="1:12" x14ac:dyDescent="0.3">
      <c r="A7">
        <v>6</v>
      </c>
      <c r="B7" t="s">
        <v>138</v>
      </c>
      <c r="C7">
        <v>35</v>
      </c>
      <c r="D7">
        <v>560</v>
      </c>
      <c r="E7" s="1">
        <v>1.0634999999999999</v>
      </c>
      <c r="F7">
        <v>700</v>
      </c>
      <c r="G7">
        <v>-210</v>
      </c>
      <c r="H7">
        <v>490</v>
      </c>
      <c r="I7" t="b">
        <v>0</v>
      </c>
      <c r="J7" t="b">
        <v>1</v>
      </c>
      <c r="K7">
        <v>150</v>
      </c>
      <c r="L7">
        <v>595</v>
      </c>
    </row>
    <row r="8" spans="1:12" x14ac:dyDescent="0.3">
      <c r="A8">
        <v>7</v>
      </c>
      <c r="B8" t="s">
        <v>139</v>
      </c>
      <c r="C8">
        <v>36</v>
      </c>
      <c r="D8">
        <v>540</v>
      </c>
      <c r="E8" s="1">
        <v>1.0278</v>
      </c>
      <c r="F8">
        <v>700</v>
      </c>
      <c r="G8">
        <v>-210</v>
      </c>
      <c r="H8">
        <v>490</v>
      </c>
      <c r="I8" t="b">
        <v>0</v>
      </c>
      <c r="J8" t="b">
        <v>1</v>
      </c>
      <c r="K8">
        <v>150</v>
      </c>
      <c r="L8">
        <v>595</v>
      </c>
    </row>
    <row r="9" spans="1:12" x14ac:dyDescent="0.3">
      <c r="A9">
        <v>8</v>
      </c>
      <c r="B9" t="s">
        <v>140</v>
      </c>
      <c r="C9">
        <v>37</v>
      </c>
      <c r="D9">
        <v>830</v>
      </c>
      <c r="E9" s="1">
        <v>1.0265</v>
      </c>
      <c r="F9">
        <v>1000</v>
      </c>
      <c r="G9">
        <v>-300</v>
      </c>
      <c r="H9">
        <v>700</v>
      </c>
      <c r="I9" t="b">
        <v>0</v>
      </c>
      <c r="J9" t="b">
        <v>1</v>
      </c>
      <c r="K9">
        <v>250</v>
      </c>
      <c r="L9">
        <v>850</v>
      </c>
    </row>
    <row r="10" spans="1:12" x14ac:dyDescent="0.3">
      <c r="A10">
        <v>9</v>
      </c>
      <c r="B10" t="s">
        <v>141</v>
      </c>
      <c r="C10">
        <v>29</v>
      </c>
      <c r="D10">
        <v>250</v>
      </c>
      <c r="E10" s="1">
        <v>1.0475000000000001</v>
      </c>
      <c r="F10">
        <v>1000</v>
      </c>
      <c r="G10">
        <v>-500</v>
      </c>
      <c r="H10">
        <v>600</v>
      </c>
      <c r="I10" t="b">
        <v>0</v>
      </c>
      <c r="J10" t="b">
        <v>1</v>
      </c>
      <c r="K10">
        <v>0</v>
      </c>
      <c r="L10">
        <v>850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C3CD-99F0-4130-8FA4-966E87A61D33}">
  <sheetPr codeName="Sheet3"/>
  <dimension ref="A1:U13"/>
  <sheetViews>
    <sheetView topLeftCell="K1" workbookViewId="0">
      <selection activeCell="U13" sqref="U13"/>
    </sheetView>
  </sheetViews>
  <sheetFormatPr defaultRowHeight="14.4" x14ac:dyDescent="0.3"/>
  <sheetData>
    <row r="1" spans="1:21" x14ac:dyDescent="0.3">
      <c r="A1" t="s">
        <v>1</v>
      </c>
      <c r="B1" t="s">
        <v>0</v>
      </c>
      <c r="C1" t="s">
        <v>34</v>
      </c>
      <c r="D1" t="s">
        <v>35</v>
      </c>
      <c r="E1" t="s">
        <v>25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x14ac:dyDescent="0.3">
      <c r="A2">
        <v>1</v>
      </c>
      <c r="B2" t="s">
        <v>51</v>
      </c>
      <c r="C2">
        <v>1</v>
      </c>
      <c r="D2">
        <v>29</v>
      </c>
      <c r="E2">
        <v>1000</v>
      </c>
      <c r="F2">
        <v>345</v>
      </c>
      <c r="G2">
        <v>16.5</v>
      </c>
      <c r="H2">
        <v>18.100000000000001</v>
      </c>
      <c r="I2">
        <v>0</v>
      </c>
      <c r="J2">
        <v>0</v>
      </c>
      <c r="K2">
        <v>0</v>
      </c>
      <c r="L2" t="s">
        <v>149</v>
      </c>
      <c r="M2">
        <v>18.100000000000001</v>
      </c>
      <c r="N2" t="b">
        <v>1</v>
      </c>
      <c r="O2">
        <v>0</v>
      </c>
      <c r="P2" t="s">
        <v>56</v>
      </c>
      <c r="Q2">
        <v>0</v>
      </c>
      <c r="R2">
        <v>1</v>
      </c>
      <c r="S2">
        <v>-1</v>
      </c>
      <c r="T2">
        <v>2.5</v>
      </c>
      <c r="U2">
        <v>100</v>
      </c>
    </row>
    <row r="3" spans="1:21" x14ac:dyDescent="0.3">
      <c r="A3">
        <v>2</v>
      </c>
      <c r="B3" t="s">
        <v>52</v>
      </c>
      <c r="C3">
        <v>5</v>
      </c>
      <c r="D3">
        <v>30</v>
      </c>
      <c r="E3">
        <v>700</v>
      </c>
      <c r="F3">
        <v>345</v>
      </c>
      <c r="G3">
        <v>16.5</v>
      </c>
      <c r="H3">
        <v>17.5</v>
      </c>
      <c r="I3">
        <v>0</v>
      </c>
      <c r="J3">
        <v>0</v>
      </c>
      <c r="K3">
        <v>0</v>
      </c>
      <c r="L3" t="s">
        <v>149</v>
      </c>
      <c r="M3">
        <v>17.5</v>
      </c>
      <c r="N3" t="b">
        <v>1</v>
      </c>
      <c r="O3">
        <v>0</v>
      </c>
      <c r="P3" t="s">
        <v>56</v>
      </c>
      <c r="Q3">
        <v>0</v>
      </c>
      <c r="R3">
        <v>1</v>
      </c>
      <c r="S3">
        <v>-1</v>
      </c>
      <c r="T3">
        <v>3.5</v>
      </c>
      <c r="U3">
        <v>100</v>
      </c>
    </row>
    <row r="4" spans="1:21" x14ac:dyDescent="0.3">
      <c r="A4">
        <v>3</v>
      </c>
      <c r="B4" t="s">
        <v>53</v>
      </c>
      <c r="C4">
        <v>9</v>
      </c>
      <c r="D4">
        <v>31</v>
      </c>
      <c r="E4">
        <v>800</v>
      </c>
      <c r="F4">
        <v>345</v>
      </c>
      <c r="G4">
        <v>16.5</v>
      </c>
      <c r="H4">
        <v>16</v>
      </c>
      <c r="I4">
        <v>0</v>
      </c>
      <c r="J4">
        <v>0</v>
      </c>
      <c r="K4">
        <v>0</v>
      </c>
      <c r="L4" t="s">
        <v>149</v>
      </c>
      <c r="M4">
        <v>16</v>
      </c>
      <c r="N4" t="b">
        <v>1</v>
      </c>
      <c r="O4">
        <v>0</v>
      </c>
      <c r="P4" t="s">
        <v>56</v>
      </c>
      <c r="Q4">
        <v>0</v>
      </c>
      <c r="R4">
        <v>1</v>
      </c>
      <c r="S4">
        <v>-1</v>
      </c>
      <c r="T4">
        <v>3.5</v>
      </c>
      <c r="U4">
        <v>100</v>
      </c>
    </row>
    <row r="5" spans="1:21" x14ac:dyDescent="0.3">
      <c r="A5">
        <v>4</v>
      </c>
      <c r="B5" t="s">
        <v>54</v>
      </c>
      <c r="C5">
        <v>10</v>
      </c>
      <c r="D5">
        <v>11</v>
      </c>
      <c r="E5">
        <v>300</v>
      </c>
      <c r="F5">
        <v>345</v>
      </c>
      <c r="G5">
        <v>138</v>
      </c>
      <c r="H5">
        <v>13.058820000000001</v>
      </c>
      <c r="I5">
        <v>0.48</v>
      </c>
      <c r="J5">
        <v>0</v>
      </c>
      <c r="K5">
        <v>0</v>
      </c>
      <c r="L5" t="s">
        <v>149</v>
      </c>
      <c r="M5">
        <v>13.058820000000001</v>
      </c>
      <c r="N5" t="b">
        <v>1</v>
      </c>
      <c r="O5">
        <v>0</v>
      </c>
      <c r="P5" t="s">
        <v>56</v>
      </c>
      <c r="Q5">
        <v>0</v>
      </c>
      <c r="R5">
        <v>1</v>
      </c>
      <c r="S5">
        <v>-1</v>
      </c>
      <c r="T5">
        <v>0.6</v>
      </c>
      <c r="U5">
        <v>100</v>
      </c>
    </row>
    <row r="6" spans="1:21" x14ac:dyDescent="0.3">
      <c r="A6">
        <v>5</v>
      </c>
      <c r="B6" t="s">
        <v>55</v>
      </c>
      <c r="C6">
        <v>12</v>
      </c>
      <c r="D6">
        <v>11</v>
      </c>
      <c r="E6">
        <v>300</v>
      </c>
      <c r="F6">
        <v>345</v>
      </c>
      <c r="G6">
        <v>138</v>
      </c>
      <c r="H6">
        <v>13.058820000000001</v>
      </c>
      <c r="I6">
        <v>0.48</v>
      </c>
      <c r="J6">
        <v>0</v>
      </c>
      <c r="K6">
        <v>0</v>
      </c>
      <c r="L6" t="s">
        <v>149</v>
      </c>
      <c r="M6">
        <v>13.058820000000001</v>
      </c>
      <c r="N6" t="b">
        <v>1</v>
      </c>
      <c r="O6">
        <v>0</v>
      </c>
      <c r="P6" t="s">
        <v>56</v>
      </c>
      <c r="Q6">
        <v>0</v>
      </c>
      <c r="R6">
        <v>1</v>
      </c>
      <c r="S6">
        <v>-1</v>
      </c>
      <c r="T6">
        <v>0.6</v>
      </c>
      <c r="U6">
        <v>100</v>
      </c>
    </row>
    <row r="7" spans="1:21" x14ac:dyDescent="0.3">
      <c r="A7">
        <v>6</v>
      </c>
      <c r="B7" t="s">
        <v>142</v>
      </c>
      <c r="C7">
        <v>18</v>
      </c>
      <c r="D7">
        <v>19</v>
      </c>
      <c r="E7">
        <v>1000</v>
      </c>
      <c r="F7">
        <v>345</v>
      </c>
      <c r="G7">
        <v>230</v>
      </c>
      <c r="H7">
        <v>13.817740000000001</v>
      </c>
      <c r="I7">
        <v>0.69999</v>
      </c>
      <c r="J7">
        <v>0</v>
      </c>
      <c r="K7">
        <v>0</v>
      </c>
      <c r="L7" t="s">
        <v>149</v>
      </c>
      <c r="M7">
        <v>13.817740000000001</v>
      </c>
      <c r="N7" t="b">
        <v>1</v>
      </c>
      <c r="O7">
        <v>0</v>
      </c>
      <c r="P7" t="s">
        <v>56</v>
      </c>
      <c r="Q7">
        <v>0</v>
      </c>
      <c r="R7">
        <v>1</v>
      </c>
      <c r="S7">
        <v>-1</v>
      </c>
      <c r="T7">
        <v>3</v>
      </c>
      <c r="U7">
        <v>100</v>
      </c>
    </row>
    <row r="8" spans="1:21" x14ac:dyDescent="0.3">
      <c r="A8">
        <v>7</v>
      </c>
      <c r="B8" t="s">
        <v>143</v>
      </c>
      <c r="C8">
        <v>18</v>
      </c>
      <c r="D8">
        <v>32</v>
      </c>
      <c r="E8">
        <v>800</v>
      </c>
      <c r="F8">
        <v>345</v>
      </c>
      <c r="G8">
        <v>16.5</v>
      </c>
      <c r="H8">
        <v>11.37379</v>
      </c>
      <c r="I8">
        <v>0.56000000000000005</v>
      </c>
      <c r="J8">
        <v>0</v>
      </c>
      <c r="K8">
        <v>0</v>
      </c>
      <c r="L8" t="s">
        <v>149</v>
      </c>
      <c r="M8">
        <v>11.37379</v>
      </c>
      <c r="N8" t="b">
        <v>1</v>
      </c>
      <c r="O8">
        <v>0</v>
      </c>
      <c r="P8" t="s">
        <v>56</v>
      </c>
      <c r="Q8">
        <v>0</v>
      </c>
      <c r="R8">
        <v>1</v>
      </c>
      <c r="S8">
        <v>-1</v>
      </c>
      <c r="T8">
        <v>3.5</v>
      </c>
      <c r="U8">
        <v>100</v>
      </c>
    </row>
    <row r="9" spans="1:21" x14ac:dyDescent="0.3">
      <c r="A9">
        <v>8</v>
      </c>
      <c r="B9" t="s">
        <v>144</v>
      </c>
      <c r="C9">
        <v>19</v>
      </c>
      <c r="D9">
        <v>33</v>
      </c>
      <c r="E9">
        <v>600</v>
      </c>
      <c r="F9">
        <v>230</v>
      </c>
      <c r="G9">
        <v>16.5</v>
      </c>
      <c r="H9">
        <v>10.81349</v>
      </c>
      <c r="I9">
        <v>0.54</v>
      </c>
      <c r="J9">
        <v>0</v>
      </c>
      <c r="K9">
        <v>0</v>
      </c>
      <c r="L9" t="s">
        <v>149</v>
      </c>
      <c r="M9">
        <v>10.81349</v>
      </c>
      <c r="N9" t="b">
        <v>1</v>
      </c>
      <c r="O9">
        <v>0</v>
      </c>
      <c r="P9" t="s">
        <v>56</v>
      </c>
      <c r="Q9">
        <v>0</v>
      </c>
      <c r="R9">
        <v>1</v>
      </c>
      <c r="S9">
        <v>-1</v>
      </c>
      <c r="T9">
        <v>0.9</v>
      </c>
      <c r="U9">
        <v>100</v>
      </c>
    </row>
    <row r="10" spans="1:21" x14ac:dyDescent="0.3">
      <c r="A10">
        <v>9</v>
      </c>
      <c r="B10" t="s">
        <v>145</v>
      </c>
      <c r="C10">
        <v>21</v>
      </c>
      <c r="D10">
        <v>34</v>
      </c>
      <c r="E10">
        <v>800</v>
      </c>
      <c r="F10">
        <v>345</v>
      </c>
      <c r="G10">
        <v>16.5</v>
      </c>
      <c r="H10">
        <v>11.44</v>
      </c>
      <c r="I10">
        <v>0</v>
      </c>
      <c r="J10">
        <v>0</v>
      </c>
      <c r="K10">
        <v>0</v>
      </c>
      <c r="L10" t="s">
        <v>149</v>
      </c>
      <c r="M10">
        <v>11.4</v>
      </c>
      <c r="N10" t="b">
        <v>1</v>
      </c>
      <c r="O10">
        <v>0</v>
      </c>
      <c r="P10" t="s">
        <v>56</v>
      </c>
      <c r="Q10">
        <v>0</v>
      </c>
      <c r="R10">
        <v>1</v>
      </c>
      <c r="S10">
        <v>-1</v>
      </c>
      <c r="T10">
        <v>2.5</v>
      </c>
      <c r="U10">
        <v>100</v>
      </c>
    </row>
    <row r="11" spans="1:21" x14ac:dyDescent="0.3">
      <c r="A11">
        <v>10</v>
      </c>
      <c r="B11" t="s">
        <v>146</v>
      </c>
      <c r="C11">
        <v>22</v>
      </c>
      <c r="D11">
        <v>35</v>
      </c>
      <c r="E11">
        <v>700</v>
      </c>
      <c r="F11">
        <v>345</v>
      </c>
      <c r="G11">
        <v>16.5</v>
      </c>
      <c r="H11">
        <v>19.043220000000002</v>
      </c>
      <c r="I11">
        <v>0.35</v>
      </c>
      <c r="J11">
        <v>0</v>
      </c>
      <c r="K11">
        <v>0</v>
      </c>
      <c r="L11" t="s">
        <v>149</v>
      </c>
      <c r="M11">
        <v>19.043220000000002</v>
      </c>
      <c r="N11" t="b">
        <v>1</v>
      </c>
      <c r="O11">
        <v>0</v>
      </c>
      <c r="P11" t="s">
        <v>56</v>
      </c>
      <c r="Q11">
        <v>0</v>
      </c>
      <c r="R11">
        <v>0</v>
      </c>
      <c r="S11">
        <v>0</v>
      </c>
      <c r="T11">
        <v>0</v>
      </c>
      <c r="U11">
        <v>100</v>
      </c>
    </row>
    <row r="12" spans="1:21" x14ac:dyDescent="0.3">
      <c r="A12">
        <v>11</v>
      </c>
      <c r="B12" t="s">
        <v>147</v>
      </c>
      <c r="C12">
        <v>24</v>
      </c>
      <c r="D12">
        <v>36</v>
      </c>
      <c r="E12">
        <v>700</v>
      </c>
      <c r="F12">
        <v>345</v>
      </c>
      <c r="G12">
        <v>16.5</v>
      </c>
      <c r="H12">
        <v>16.245429999999999</v>
      </c>
      <c r="I12">
        <v>0.42</v>
      </c>
      <c r="J12">
        <v>0</v>
      </c>
      <c r="K12">
        <v>0</v>
      </c>
      <c r="L12" t="s">
        <v>149</v>
      </c>
      <c r="M12">
        <v>16.245429999999999</v>
      </c>
      <c r="N12" t="b">
        <v>1</v>
      </c>
      <c r="O12">
        <v>0</v>
      </c>
      <c r="P12" t="s">
        <v>56</v>
      </c>
      <c r="Q12">
        <v>0</v>
      </c>
      <c r="R12">
        <v>1</v>
      </c>
      <c r="S12">
        <v>-1</v>
      </c>
      <c r="T12">
        <v>2.5</v>
      </c>
      <c r="U12">
        <v>100</v>
      </c>
    </row>
    <row r="13" spans="1:21" x14ac:dyDescent="0.3">
      <c r="A13">
        <v>12</v>
      </c>
      <c r="B13" t="s">
        <v>148</v>
      </c>
      <c r="C13">
        <v>28</v>
      </c>
      <c r="D13">
        <v>37</v>
      </c>
      <c r="E13">
        <v>1000</v>
      </c>
      <c r="F13">
        <v>345</v>
      </c>
      <c r="G13">
        <v>16.5</v>
      </c>
      <c r="H13">
        <v>15.6205</v>
      </c>
      <c r="I13">
        <v>0.8</v>
      </c>
      <c r="J13">
        <v>0</v>
      </c>
      <c r="K13">
        <v>0</v>
      </c>
      <c r="L13" t="s">
        <v>149</v>
      </c>
      <c r="M13">
        <v>15.6205</v>
      </c>
      <c r="N13" t="b">
        <v>1</v>
      </c>
      <c r="O13">
        <v>0</v>
      </c>
      <c r="P13" t="s">
        <v>56</v>
      </c>
      <c r="Q13">
        <v>0</v>
      </c>
      <c r="R13">
        <v>1</v>
      </c>
      <c r="S13">
        <v>-1</v>
      </c>
      <c r="T13">
        <v>2.5</v>
      </c>
      <c r="U13">
        <v>100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12559-8291-4868-B7B9-D60B65643B5D}">
  <dimension ref="A1:N35"/>
  <sheetViews>
    <sheetView topLeftCell="A10" workbookViewId="0">
      <selection activeCell="J36" sqref="J36"/>
    </sheetView>
  </sheetViews>
  <sheetFormatPr defaultRowHeight="14.4" x14ac:dyDescent="0.3"/>
  <cols>
    <col min="2" max="2" width="10" bestFit="1" customWidth="1"/>
    <col min="5" max="5" width="9.5546875" bestFit="1" customWidth="1"/>
    <col min="6" max="6" width="9.5546875" hidden="1" customWidth="1"/>
    <col min="8" max="8" width="0" hidden="1" customWidth="1"/>
  </cols>
  <sheetData>
    <row r="1" spans="1:14" x14ac:dyDescent="0.3">
      <c r="A1" t="s">
        <v>1</v>
      </c>
      <c r="B1" t="s">
        <v>0</v>
      </c>
      <c r="C1" t="s">
        <v>57</v>
      </c>
      <c r="D1" t="s">
        <v>58</v>
      </c>
      <c r="E1" t="s">
        <v>59</v>
      </c>
      <c r="G1" t="s">
        <v>60</v>
      </c>
      <c r="I1" t="s">
        <v>61</v>
      </c>
      <c r="J1" t="s">
        <v>62</v>
      </c>
      <c r="K1" t="s">
        <v>63</v>
      </c>
      <c r="L1" t="s">
        <v>4</v>
      </c>
      <c r="M1" t="s">
        <v>3</v>
      </c>
      <c r="N1" t="s">
        <v>50</v>
      </c>
    </row>
    <row r="2" spans="1:14" x14ac:dyDescent="0.3">
      <c r="A2">
        <v>1</v>
      </c>
      <c r="B2" t="s">
        <v>150</v>
      </c>
      <c r="C2">
        <v>0</v>
      </c>
      <c r="D2">
        <v>1</v>
      </c>
      <c r="E2" s="2">
        <v>163.0643</v>
      </c>
      <c r="F2" s="2">
        <v>4.1658759999999999</v>
      </c>
      <c r="G2">
        <f>F2/E2</f>
        <v>2.5547443554475135E-2</v>
      </c>
      <c r="H2">
        <v>48.919280000000001</v>
      </c>
      <c r="I2">
        <f>H2/E2</f>
        <v>0.29999993867449837</v>
      </c>
      <c r="J2">
        <v>9.5490999999999993</v>
      </c>
      <c r="K2">
        <v>1</v>
      </c>
      <c r="L2" t="b">
        <v>1</v>
      </c>
      <c r="M2" t="s">
        <v>64</v>
      </c>
      <c r="N2">
        <v>100</v>
      </c>
    </row>
    <row r="3" spans="1:14" x14ac:dyDescent="0.3">
      <c r="A3">
        <v>2</v>
      </c>
      <c r="B3" t="s">
        <v>151</v>
      </c>
      <c r="C3">
        <v>0</v>
      </c>
      <c r="D3">
        <v>38</v>
      </c>
      <c r="E3" s="2">
        <v>99.1875</v>
      </c>
      <c r="F3" s="2">
        <v>1.19025</v>
      </c>
      <c r="G3">
        <f t="shared" ref="G3:G35" si="0">F3/E3</f>
        <v>1.2E-2</v>
      </c>
      <c r="H3">
        <v>29.756250000000001</v>
      </c>
      <c r="I3">
        <f t="shared" ref="I3:I35" si="1">H3/E3</f>
        <v>0.3</v>
      </c>
      <c r="J3">
        <v>16.851400000000002</v>
      </c>
      <c r="K3">
        <v>1</v>
      </c>
      <c r="L3" t="b">
        <v>1</v>
      </c>
      <c r="M3" t="s">
        <v>64</v>
      </c>
      <c r="N3">
        <v>100</v>
      </c>
    </row>
    <row r="4" spans="1:14" x14ac:dyDescent="0.3">
      <c r="A4">
        <v>3</v>
      </c>
      <c r="B4" t="s">
        <v>152</v>
      </c>
      <c r="C4">
        <v>1</v>
      </c>
      <c r="D4">
        <v>2</v>
      </c>
      <c r="E4" s="2">
        <v>59.90925</v>
      </c>
      <c r="F4" s="2">
        <v>1.5473250000000001</v>
      </c>
      <c r="G4">
        <f t="shared" si="0"/>
        <v>2.5827814569536426E-2</v>
      </c>
      <c r="H4">
        <v>17.972770000000001</v>
      </c>
      <c r="I4">
        <f t="shared" si="1"/>
        <v>0.29999991654043406</v>
      </c>
      <c r="J4">
        <v>9.5677000000000003</v>
      </c>
      <c r="K4">
        <v>1</v>
      </c>
      <c r="L4" t="b">
        <v>1</v>
      </c>
      <c r="M4" t="s">
        <v>64</v>
      </c>
      <c r="N4">
        <v>100</v>
      </c>
    </row>
    <row r="5" spans="1:14" x14ac:dyDescent="0.3">
      <c r="A5">
        <v>4</v>
      </c>
      <c r="B5" t="s">
        <v>153</v>
      </c>
      <c r="C5">
        <v>1</v>
      </c>
      <c r="D5">
        <v>24</v>
      </c>
      <c r="E5" s="2">
        <v>34.1205</v>
      </c>
      <c r="F5" s="2">
        <v>8.3317499999999995</v>
      </c>
      <c r="G5">
        <f t="shared" si="0"/>
        <v>0.2441860465116279</v>
      </c>
      <c r="H5">
        <v>10.23615</v>
      </c>
      <c r="I5">
        <f t="shared" si="1"/>
        <v>0.3</v>
      </c>
      <c r="J5">
        <v>9.5359999999999996</v>
      </c>
      <c r="K5">
        <v>1</v>
      </c>
      <c r="L5" t="b">
        <v>1</v>
      </c>
      <c r="M5" t="s">
        <v>64</v>
      </c>
      <c r="N5">
        <v>100</v>
      </c>
    </row>
    <row r="6" spans="1:14" x14ac:dyDescent="0.3">
      <c r="A6">
        <v>5</v>
      </c>
      <c r="B6" t="s">
        <v>154</v>
      </c>
      <c r="C6">
        <v>2</v>
      </c>
      <c r="D6">
        <v>3</v>
      </c>
      <c r="E6" s="2">
        <v>84.507750000000001</v>
      </c>
      <c r="F6" s="2">
        <v>1.5473250000000001</v>
      </c>
      <c r="G6">
        <f t="shared" si="0"/>
        <v>1.8309859154929577E-2</v>
      </c>
      <c r="H6">
        <v>25.352329999999998</v>
      </c>
      <c r="I6">
        <f t="shared" si="1"/>
        <v>0.30000005916617112</v>
      </c>
      <c r="J6">
        <v>5.8385999999999996</v>
      </c>
      <c r="K6">
        <v>1</v>
      </c>
      <c r="L6" t="b">
        <v>1</v>
      </c>
      <c r="M6" t="s">
        <v>64</v>
      </c>
      <c r="N6">
        <v>100</v>
      </c>
    </row>
    <row r="7" spans="1:14" x14ac:dyDescent="0.3">
      <c r="A7">
        <v>6</v>
      </c>
      <c r="B7" t="s">
        <v>155</v>
      </c>
      <c r="C7">
        <v>2</v>
      </c>
      <c r="D7">
        <v>17</v>
      </c>
      <c r="E7" s="2">
        <v>52.767749999999999</v>
      </c>
      <c r="F7" s="2">
        <v>1.309275</v>
      </c>
      <c r="G7">
        <f t="shared" si="0"/>
        <v>2.4812030075187969E-2</v>
      </c>
      <c r="H7">
        <v>15.83033</v>
      </c>
      <c r="I7">
        <f t="shared" si="1"/>
        <v>0.30000009475484551</v>
      </c>
      <c r="J7">
        <v>9.0296000000000003</v>
      </c>
      <c r="K7">
        <v>1</v>
      </c>
      <c r="L7" t="b">
        <v>1</v>
      </c>
      <c r="M7" t="s">
        <v>64</v>
      </c>
      <c r="N7">
        <v>100</v>
      </c>
    </row>
    <row r="8" spans="1:14" x14ac:dyDescent="0.3">
      <c r="A8">
        <v>7</v>
      </c>
      <c r="B8" t="s">
        <v>156</v>
      </c>
      <c r="C8">
        <v>3</v>
      </c>
      <c r="D8">
        <v>4</v>
      </c>
      <c r="E8" s="2">
        <v>50.783999999999999</v>
      </c>
      <c r="F8" s="2">
        <v>0.95220009999999999</v>
      </c>
      <c r="G8">
        <f t="shared" si="0"/>
        <v>1.8750001969124134E-2</v>
      </c>
      <c r="H8">
        <v>15.235200000000001</v>
      </c>
      <c r="I8">
        <f t="shared" si="1"/>
        <v>0.30000000000000004</v>
      </c>
      <c r="J8">
        <v>18.75</v>
      </c>
      <c r="K8">
        <v>1</v>
      </c>
      <c r="L8" t="b">
        <v>1</v>
      </c>
      <c r="M8" t="s">
        <v>64</v>
      </c>
      <c r="N8">
        <v>100</v>
      </c>
    </row>
    <row r="9" spans="1:14" x14ac:dyDescent="0.3">
      <c r="A9">
        <v>8</v>
      </c>
      <c r="B9" t="s">
        <v>157</v>
      </c>
      <c r="C9">
        <v>3</v>
      </c>
      <c r="D9">
        <v>13</v>
      </c>
      <c r="E9" s="2">
        <v>51.180750000000003</v>
      </c>
      <c r="F9" s="2">
        <v>0.95219989999999999</v>
      </c>
      <c r="G9">
        <f t="shared" si="0"/>
        <v>1.8604649208931092E-2</v>
      </c>
      <c r="H9">
        <v>15.354229999999999</v>
      </c>
      <c r="I9">
        <f t="shared" si="1"/>
        <v>0.30000009769298025</v>
      </c>
      <c r="J9">
        <v>18.604649999999999</v>
      </c>
      <c r="K9">
        <v>1</v>
      </c>
      <c r="L9" t="b">
        <v>1</v>
      </c>
      <c r="M9" t="s">
        <v>64</v>
      </c>
      <c r="N9">
        <v>100</v>
      </c>
    </row>
    <row r="10" spans="1:14" x14ac:dyDescent="0.3">
      <c r="A10">
        <v>9</v>
      </c>
      <c r="B10" t="s">
        <v>158</v>
      </c>
      <c r="C10">
        <v>4</v>
      </c>
      <c r="D10">
        <v>5</v>
      </c>
      <c r="E10" s="2">
        <v>10.3155</v>
      </c>
      <c r="F10" s="2">
        <v>0.23805000000000001</v>
      </c>
      <c r="G10">
        <f t="shared" si="0"/>
        <v>2.3076923076923078E-2</v>
      </c>
      <c r="H10">
        <v>3.0946500000000001</v>
      </c>
      <c r="I10">
        <f t="shared" si="1"/>
        <v>0.3</v>
      </c>
      <c r="J10">
        <v>9.3763000000000005</v>
      </c>
      <c r="K10">
        <v>1</v>
      </c>
      <c r="L10" t="b">
        <v>1</v>
      </c>
      <c r="M10" t="s">
        <v>64</v>
      </c>
      <c r="N10">
        <v>100</v>
      </c>
    </row>
    <row r="11" spans="1:14" x14ac:dyDescent="0.3">
      <c r="A11">
        <v>10</v>
      </c>
      <c r="B11" t="s">
        <v>159</v>
      </c>
      <c r="C11">
        <v>4</v>
      </c>
      <c r="D11">
        <v>7</v>
      </c>
      <c r="E11" s="2">
        <v>44.436</v>
      </c>
      <c r="F11" s="2">
        <v>0.95219989999999999</v>
      </c>
      <c r="G11">
        <f t="shared" si="0"/>
        <v>2.1428569178143848E-2</v>
      </c>
      <c r="H11">
        <v>13.3308</v>
      </c>
      <c r="I11">
        <f t="shared" si="1"/>
        <v>0.3</v>
      </c>
      <c r="J11">
        <v>7.4025999999999996</v>
      </c>
      <c r="K11">
        <v>1</v>
      </c>
      <c r="L11" t="b">
        <v>1</v>
      </c>
      <c r="M11" t="s">
        <v>64</v>
      </c>
      <c r="N11">
        <v>100</v>
      </c>
    </row>
    <row r="12" spans="1:14" x14ac:dyDescent="0.3">
      <c r="A12">
        <v>11</v>
      </c>
      <c r="B12" t="s">
        <v>160</v>
      </c>
      <c r="C12">
        <v>5</v>
      </c>
      <c r="D12">
        <v>6</v>
      </c>
      <c r="E12" s="2">
        <v>36.500999999999998</v>
      </c>
      <c r="F12" s="2">
        <v>0.71415010000000001</v>
      </c>
      <c r="G12">
        <f t="shared" si="0"/>
        <v>1.9565220130955317E-2</v>
      </c>
      <c r="H12">
        <v>10.9503</v>
      </c>
      <c r="I12">
        <f t="shared" si="1"/>
        <v>0.30000000000000004</v>
      </c>
      <c r="J12">
        <v>6.8993000000000002</v>
      </c>
      <c r="K12">
        <v>1</v>
      </c>
      <c r="L12" t="b">
        <v>1</v>
      </c>
      <c r="M12" t="s">
        <v>64</v>
      </c>
      <c r="N12">
        <v>100</v>
      </c>
    </row>
    <row r="13" spans="1:14" x14ac:dyDescent="0.3">
      <c r="A13">
        <v>12</v>
      </c>
      <c r="B13" t="s">
        <v>161</v>
      </c>
      <c r="C13">
        <v>5</v>
      </c>
      <c r="D13">
        <v>10</v>
      </c>
      <c r="E13" s="2">
        <v>32.533499999999997</v>
      </c>
      <c r="F13" s="2">
        <v>0.83317509999999995</v>
      </c>
      <c r="G13">
        <f t="shared" si="0"/>
        <v>2.5609759171315721E-2</v>
      </c>
      <c r="H13">
        <v>9.7600510000000007</v>
      </c>
      <c r="I13">
        <f t="shared" si="1"/>
        <v>0.3000000307375475</v>
      </c>
      <c r="J13">
        <v>9.5149000000000008</v>
      </c>
      <c r="K13">
        <v>1</v>
      </c>
      <c r="L13" t="b">
        <v>1</v>
      </c>
      <c r="M13" t="s">
        <v>64</v>
      </c>
      <c r="N13">
        <v>100</v>
      </c>
    </row>
    <row r="14" spans="1:14" x14ac:dyDescent="0.3">
      <c r="A14">
        <v>13</v>
      </c>
      <c r="B14" t="s">
        <v>162</v>
      </c>
      <c r="C14">
        <v>6</v>
      </c>
      <c r="D14">
        <v>7</v>
      </c>
      <c r="E14" s="2">
        <v>18.250499999999999</v>
      </c>
      <c r="F14" s="2">
        <v>0.47610010000000003</v>
      </c>
      <c r="G14">
        <f t="shared" si="0"/>
        <v>2.6086962001041072E-2</v>
      </c>
      <c r="H14">
        <v>5.4751500000000002</v>
      </c>
      <c r="I14">
        <f t="shared" si="1"/>
        <v>0.30000000000000004</v>
      </c>
      <c r="J14">
        <v>9.5246999999999993</v>
      </c>
      <c r="K14">
        <v>1</v>
      </c>
      <c r="L14" t="b">
        <v>1</v>
      </c>
      <c r="M14" t="s">
        <v>64</v>
      </c>
      <c r="N14">
        <v>100</v>
      </c>
    </row>
    <row r="15" spans="1:14" x14ac:dyDescent="0.3">
      <c r="A15">
        <v>14</v>
      </c>
      <c r="B15" t="s">
        <v>163</v>
      </c>
      <c r="C15">
        <v>7</v>
      </c>
      <c r="D15">
        <v>8</v>
      </c>
      <c r="E15" s="2">
        <v>144.02019999999999</v>
      </c>
      <c r="F15" s="2">
        <v>2.737574</v>
      </c>
      <c r="G15">
        <f t="shared" si="0"/>
        <v>1.9008264118505598E-2</v>
      </c>
      <c r="H15">
        <v>43.20608</v>
      </c>
      <c r="I15">
        <f t="shared" si="1"/>
        <v>0.30000013886940863</v>
      </c>
      <c r="J15">
        <v>5.8864000000000001</v>
      </c>
      <c r="K15">
        <v>1</v>
      </c>
      <c r="L15" t="b">
        <v>1</v>
      </c>
      <c r="M15" t="s">
        <v>64</v>
      </c>
      <c r="N15">
        <v>100</v>
      </c>
    </row>
    <row r="16" spans="1:14" x14ac:dyDescent="0.3">
      <c r="A16">
        <v>15</v>
      </c>
      <c r="B16" t="s">
        <v>164</v>
      </c>
      <c r="C16">
        <v>8</v>
      </c>
      <c r="D16">
        <v>38</v>
      </c>
      <c r="E16" s="2">
        <v>99.1875</v>
      </c>
      <c r="F16" s="2">
        <v>1.19025</v>
      </c>
      <c r="G16">
        <f t="shared" si="0"/>
        <v>1.2E-2</v>
      </c>
      <c r="H16">
        <v>29.756250000000001</v>
      </c>
      <c r="I16">
        <f t="shared" si="1"/>
        <v>0.3</v>
      </c>
      <c r="J16">
        <v>26.962199999999999</v>
      </c>
      <c r="K16">
        <v>1</v>
      </c>
      <c r="L16" t="b">
        <v>1</v>
      </c>
      <c r="M16" t="s">
        <v>64</v>
      </c>
      <c r="N16">
        <v>100</v>
      </c>
    </row>
    <row r="17" spans="1:14" x14ac:dyDescent="0.3">
      <c r="A17">
        <v>16</v>
      </c>
      <c r="B17" t="s">
        <v>165</v>
      </c>
      <c r="C17">
        <v>9</v>
      </c>
      <c r="D17">
        <v>10</v>
      </c>
      <c r="E17" s="2">
        <v>17.06025</v>
      </c>
      <c r="F17" s="2">
        <v>0.47610010000000003</v>
      </c>
      <c r="G17">
        <f t="shared" si="0"/>
        <v>2.7906982605764866E-2</v>
      </c>
      <c r="H17">
        <v>5.1180750000000002</v>
      </c>
      <c r="I17">
        <f t="shared" si="1"/>
        <v>0.3</v>
      </c>
      <c r="J17">
        <v>9.5229999999999997</v>
      </c>
      <c r="K17">
        <v>1</v>
      </c>
      <c r="L17" t="b">
        <v>1</v>
      </c>
      <c r="M17" t="s">
        <v>64</v>
      </c>
      <c r="N17">
        <v>100</v>
      </c>
    </row>
    <row r="18" spans="1:14" x14ac:dyDescent="0.3">
      <c r="A18">
        <v>17</v>
      </c>
      <c r="B18" t="s">
        <v>166</v>
      </c>
      <c r="C18">
        <v>9</v>
      </c>
      <c r="D18">
        <v>12</v>
      </c>
      <c r="E18" s="2">
        <v>17.06025</v>
      </c>
      <c r="F18" s="2">
        <v>0.47610010000000003</v>
      </c>
      <c r="G18">
        <f t="shared" si="0"/>
        <v>2.7906982605764866E-2</v>
      </c>
      <c r="H18">
        <v>5.1180750000000002</v>
      </c>
      <c r="I18">
        <f t="shared" si="1"/>
        <v>0.3</v>
      </c>
      <c r="J18">
        <v>9.5229999999999997</v>
      </c>
      <c r="K18">
        <v>1</v>
      </c>
      <c r="L18" t="b">
        <v>1</v>
      </c>
      <c r="M18" t="s">
        <v>64</v>
      </c>
      <c r="N18">
        <v>100</v>
      </c>
    </row>
    <row r="19" spans="1:14" x14ac:dyDescent="0.3">
      <c r="A19">
        <v>18</v>
      </c>
      <c r="B19" t="s">
        <v>167</v>
      </c>
      <c r="C19">
        <v>12</v>
      </c>
      <c r="D19">
        <v>13</v>
      </c>
      <c r="E19" s="2">
        <v>40.071750000000002</v>
      </c>
      <c r="F19" s="2">
        <v>1.0712250000000001</v>
      </c>
      <c r="G19">
        <f t="shared" si="0"/>
        <v>2.6732673267326736E-2</v>
      </c>
      <c r="H19">
        <v>12.02153</v>
      </c>
      <c r="I19">
        <f t="shared" si="1"/>
        <v>0.30000012477618271</v>
      </c>
      <c r="J19">
        <v>9.5824999999999996</v>
      </c>
      <c r="K19">
        <v>1</v>
      </c>
      <c r="L19" t="b">
        <v>1</v>
      </c>
      <c r="M19" t="s">
        <v>64</v>
      </c>
      <c r="N19">
        <v>100</v>
      </c>
    </row>
    <row r="20" spans="1:14" x14ac:dyDescent="0.3">
      <c r="A20">
        <v>19</v>
      </c>
      <c r="B20" t="s">
        <v>168</v>
      </c>
      <c r="C20">
        <v>13</v>
      </c>
      <c r="D20">
        <v>14</v>
      </c>
      <c r="E20" s="2">
        <v>86.094750000000005</v>
      </c>
      <c r="F20" s="2">
        <v>2.1424500000000002</v>
      </c>
      <c r="G20">
        <f t="shared" si="0"/>
        <v>2.488479262672811E-2</v>
      </c>
      <c r="H20">
        <v>25.828430000000001</v>
      </c>
      <c r="I20">
        <f t="shared" si="1"/>
        <v>0.30000005807555047</v>
      </c>
      <c r="J20">
        <v>9.4740000000000002</v>
      </c>
      <c r="K20">
        <v>1</v>
      </c>
      <c r="L20" t="b">
        <v>1</v>
      </c>
      <c r="M20" t="s">
        <v>64</v>
      </c>
      <c r="N20">
        <v>100</v>
      </c>
    </row>
    <row r="21" spans="1:14" x14ac:dyDescent="0.3">
      <c r="A21">
        <v>20</v>
      </c>
      <c r="B21" t="s">
        <v>169</v>
      </c>
      <c r="C21">
        <v>14</v>
      </c>
      <c r="D21">
        <v>15</v>
      </c>
      <c r="E21" s="2">
        <v>37.294499999999999</v>
      </c>
      <c r="F21" s="2">
        <v>1.0712250000000001</v>
      </c>
      <c r="G21">
        <f t="shared" si="0"/>
        <v>2.8723404255319152E-2</v>
      </c>
      <c r="H21">
        <v>11.18835</v>
      </c>
      <c r="I21">
        <f t="shared" si="1"/>
        <v>0.3</v>
      </c>
      <c r="J21">
        <v>10.218400000000001</v>
      </c>
      <c r="K21">
        <v>1</v>
      </c>
      <c r="L21" t="b">
        <v>1</v>
      </c>
      <c r="M21" t="s">
        <v>64</v>
      </c>
      <c r="N21">
        <v>100</v>
      </c>
    </row>
    <row r="22" spans="1:14" x14ac:dyDescent="0.3">
      <c r="A22">
        <v>21</v>
      </c>
      <c r="B22" t="s">
        <v>170</v>
      </c>
      <c r="C22">
        <v>15</v>
      </c>
      <c r="D22">
        <v>16</v>
      </c>
      <c r="E22" s="2">
        <v>35.310749999999999</v>
      </c>
      <c r="F22" s="2">
        <v>0.83317509999999995</v>
      </c>
      <c r="G22">
        <f t="shared" si="0"/>
        <v>2.359550844997628E-2</v>
      </c>
      <c r="H22">
        <v>10.59323</v>
      </c>
      <c r="I22">
        <f t="shared" si="1"/>
        <v>0.30000014159993771</v>
      </c>
      <c r="J22">
        <v>8.4699000000000009</v>
      </c>
      <c r="K22">
        <v>1</v>
      </c>
      <c r="L22" t="b">
        <v>1</v>
      </c>
      <c r="M22" t="s">
        <v>64</v>
      </c>
      <c r="N22">
        <v>100</v>
      </c>
    </row>
    <row r="23" spans="1:14" x14ac:dyDescent="0.3">
      <c r="A23">
        <v>22</v>
      </c>
      <c r="B23" t="s">
        <v>171</v>
      </c>
      <c r="C23">
        <v>15</v>
      </c>
      <c r="D23">
        <v>18</v>
      </c>
      <c r="E23" s="2">
        <v>77.366249999999994</v>
      </c>
      <c r="F23" s="2">
        <v>1.9044000000000001</v>
      </c>
      <c r="G23">
        <f t="shared" si="0"/>
        <v>2.4615384615384619E-2</v>
      </c>
      <c r="H23">
        <v>23.209879999999998</v>
      </c>
      <c r="I23">
        <f t="shared" si="1"/>
        <v>0.30000006462766388</v>
      </c>
      <c r="J23">
        <v>8.7568999999999999</v>
      </c>
      <c r="K23">
        <v>1</v>
      </c>
      <c r="L23" t="b">
        <v>1</v>
      </c>
      <c r="M23" t="s">
        <v>64</v>
      </c>
      <c r="N23">
        <v>100</v>
      </c>
    </row>
    <row r="24" spans="1:14" x14ac:dyDescent="0.3">
      <c r="A24">
        <v>23</v>
      </c>
      <c r="B24" t="s">
        <v>172</v>
      </c>
      <c r="C24">
        <v>15</v>
      </c>
      <c r="D24">
        <v>20</v>
      </c>
      <c r="E24" s="2">
        <v>53.561250000000001</v>
      </c>
      <c r="F24" s="2">
        <v>0.95220009999999999</v>
      </c>
      <c r="G24">
        <f t="shared" si="0"/>
        <v>1.7777779644799176E-2</v>
      </c>
      <c r="H24">
        <v>16.068370000000002</v>
      </c>
      <c r="I24">
        <f t="shared" si="1"/>
        <v>0.29999990664893</v>
      </c>
      <c r="J24">
        <v>10.601800000000001</v>
      </c>
      <c r="K24">
        <v>1</v>
      </c>
      <c r="L24" t="b">
        <v>1</v>
      </c>
      <c r="M24" t="s">
        <v>64</v>
      </c>
      <c r="N24">
        <v>100</v>
      </c>
    </row>
    <row r="25" spans="1:14" x14ac:dyDescent="0.3">
      <c r="A25">
        <v>24</v>
      </c>
      <c r="B25" t="s">
        <v>173</v>
      </c>
      <c r="C25">
        <v>15</v>
      </c>
      <c r="D25">
        <v>23</v>
      </c>
      <c r="E25" s="2">
        <v>23.408249999999999</v>
      </c>
      <c r="F25" s="2">
        <v>0.35707509999999998</v>
      </c>
      <c r="G25">
        <f t="shared" si="0"/>
        <v>1.5254241560133714E-2</v>
      </c>
      <c r="H25">
        <v>7.0224760000000002</v>
      </c>
      <c r="I25">
        <f t="shared" si="1"/>
        <v>0.30000004271998121</v>
      </c>
      <c r="J25">
        <v>6.4740000000000002</v>
      </c>
      <c r="K25">
        <v>1</v>
      </c>
      <c r="L25" t="b">
        <v>1</v>
      </c>
      <c r="M25" t="s">
        <v>64</v>
      </c>
      <c r="N25">
        <v>100</v>
      </c>
    </row>
    <row r="26" spans="1:14" x14ac:dyDescent="0.3">
      <c r="A26">
        <v>25</v>
      </c>
      <c r="B26" t="s">
        <v>174</v>
      </c>
      <c r="C26">
        <v>16</v>
      </c>
      <c r="D26">
        <v>17</v>
      </c>
      <c r="E26" s="2">
        <v>32.533499999999997</v>
      </c>
      <c r="F26" s="2">
        <v>0.83317509999999995</v>
      </c>
      <c r="G26">
        <f t="shared" si="0"/>
        <v>2.5609759171315721E-2</v>
      </c>
      <c r="H26">
        <v>9.7600510000000007</v>
      </c>
      <c r="I26">
        <f t="shared" si="1"/>
        <v>0.3000000307375475</v>
      </c>
      <c r="J26">
        <v>9.0352999999999994</v>
      </c>
      <c r="K26">
        <v>1</v>
      </c>
      <c r="L26" t="b">
        <v>1</v>
      </c>
      <c r="M26" t="s">
        <v>64</v>
      </c>
      <c r="N26">
        <v>100</v>
      </c>
    </row>
    <row r="27" spans="1:14" x14ac:dyDescent="0.3">
      <c r="A27">
        <v>26</v>
      </c>
      <c r="B27" t="s">
        <v>175</v>
      </c>
      <c r="C27">
        <v>16</v>
      </c>
      <c r="D27">
        <v>26</v>
      </c>
      <c r="E27" s="2">
        <v>68.637749999999997</v>
      </c>
      <c r="F27" s="2">
        <v>1.5473250000000001</v>
      </c>
      <c r="G27">
        <f t="shared" si="0"/>
        <v>2.2543352601156072E-2</v>
      </c>
      <c r="H27">
        <v>20.591329999999999</v>
      </c>
      <c r="I27">
        <f t="shared" si="1"/>
        <v>0.30000007284621072</v>
      </c>
      <c r="J27">
        <v>10.442</v>
      </c>
      <c r="K27">
        <v>1</v>
      </c>
      <c r="L27" t="b">
        <v>1</v>
      </c>
      <c r="M27" t="s">
        <v>64</v>
      </c>
      <c r="N27">
        <v>100</v>
      </c>
    </row>
    <row r="28" spans="1:14" x14ac:dyDescent="0.3">
      <c r="A28">
        <v>27</v>
      </c>
      <c r="B28" t="s">
        <v>176</v>
      </c>
      <c r="C28">
        <v>20</v>
      </c>
      <c r="D28">
        <v>21</v>
      </c>
      <c r="E28" s="2">
        <v>55.545000000000002</v>
      </c>
      <c r="F28" s="2">
        <v>0.95220009999999999</v>
      </c>
      <c r="G28">
        <f t="shared" si="0"/>
        <v>1.7142858943199207E-2</v>
      </c>
      <c r="H28">
        <v>16.663499999999999</v>
      </c>
      <c r="I28">
        <f t="shared" si="1"/>
        <v>0.3</v>
      </c>
      <c r="J28">
        <v>10.291399999999999</v>
      </c>
      <c r="K28">
        <v>1</v>
      </c>
      <c r="L28" t="b">
        <v>1</v>
      </c>
      <c r="M28" t="s">
        <v>64</v>
      </c>
      <c r="N28">
        <v>100</v>
      </c>
    </row>
    <row r="29" spans="1:14" x14ac:dyDescent="0.3">
      <c r="A29">
        <v>28</v>
      </c>
      <c r="B29" t="s">
        <v>177</v>
      </c>
      <c r="C29">
        <v>21</v>
      </c>
      <c r="D29">
        <v>22</v>
      </c>
      <c r="E29" s="2">
        <v>38.088000000000001</v>
      </c>
      <c r="F29" s="2">
        <v>0.71415010000000001</v>
      </c>
      <c r="G29">
        <f t="shared" si="0"/>
        <v>1.8750002625498845E-2</v>
      </c>
      <c r="H29">
        <v>11.426399999999999</v>
      </c>
      <c r="I29">
        <f t="shared" si="1"/>
        <v>0.3</v>
      </c>
      <c r="J29">
        <v>10.801299999999999</v>
      </c>
      <c r="K29">
        <v>1</v>
      </c>
      <c r="L29" t="b">
        <v>1</v>
      </c>
      <c r="M29" t="s">
        <v>64</v>
      </c>
      <c r="N29">
        <v>100</v>
      </c>
    </row>
    <row r="30" spans="1:14" x14ac:dyDescent="0.3">
      <c r="A30">
        <v>29</v>
      </c>
      <c r="B30" t="s">
        <v>178</v>
      </c>
      <c r="C30">
        <v>22</v>
      </c>
      <c r="D30">
        <v>23</v>
      </c>
      <c r="E30" s="2">
        <v>138.86250000000001</v>
      </c>
      <c r="F30" s="2">
        <v>2.6185499999999999</v>
      </c>
      <c r="G30">
        <f t="shared" si="0"/>
        <v>1.8857142857142854E-2</v>
      </c>
      <c r="H30">
        <v>41.658749999999998</v>
      </c>
      <c r="I30">
        <f t="shared" si="1"/>
        <v>0.29999999999999993</v>
      </c>
      <c r="J30">
        <v>5.7937000000000003</v>
      </c>
      <c r="K30">
        <v>1</v>
      </c>
      <c r="L30" t="b">
        <v>1</v>
      </c>
      <c r="M30" t="s">
        <v>64</v>
      </c>
      <c r="N30">
        <v>100</v>
      </c>
    </row>
    <row r="31" spans="1:14" x14ac:dyDescent="0.3">
      <c r="A31">
        <v>30</v>
      </c>
      <c r="B31" t="s">
        <v>179</v>
      </c>
      <c r="C31">
        <v>24</v>
      </c>
      <c r="D31">
        <v>25</v>
      </c>
      <c r="E31" s="2">
        <v>128.15029999999999</v>
      </c>
      <c r="F31" s="2">
        <v>3.8088000000000002</v>
      </c>
      <c r="G31">
        <f t="shared" si="0"/>
        <v>2.9721350632811634E-2</v>
      </c>
      <c r="H31">
        <v>38.445079999999997</v>
      </c>
      <c r="I31">
        <f t="shared" si="1"/>
        <v>0.29999992196662828</v>
      </c>
      <c r="J31">
        <v>8.9213000000000005</v>
      </c>
      <c r="K31">
        <v>1</v>
      </c>
      <c r="L31" t="b">
        <v>1</v>
      </c>
      <c r="M31" t="s">
        <v>64</v>
      </c>
      <c r="N31">
        <v>100</v>
      </c>
    </row>
    <row r="32" spans="1:14" x14ac:dyDescent="0.3">
      <c r="A32">
        <v>31</v>
      </c>
      <c r="B32" t="s">
        <v>180</v>
      </c>
      <c r="C32">
        <v>25</v>
      </c>
      <c r="D32">
        <v>26</v>
      </c>
      <c r="E32" s="2">
        <v>58.322249999999997</v>
      </c>
      <c r="F32" s="2">
        <v>1.66635</v>
      </c>
      <c r="G32">
        <f t="shared" si="0"/>
        <v>2.8571428571428574E-2</v>
      </c>
      <c r="H32">
        <v>17.496680000000001</v>
      </c>
      <c r="I32">
        <f t="shared" si="1"/>
        <v>0.30000008573057457</v>
      </c>
      <c r="J32">
        <v>9.1555</v>
      </c>
      <c r="K32">
        <v>1</v>
      </c>
      <c r="L32" t="b">
        <v>1</v>
      </c>
      <c r="M32" t="s">
        <v>64</v>
      </c>
      <c r="N32">
        <v>100</v>
      </c>
    </row>
    <row r="33" spans="1:14" x14ac:dyDescent="0.3">
      <c r="A33">
        <v>32</v>
      </c>
      <c r="B33" t="s">
        <v>181</v>
      </c>
      <c r="C33">
        <v>25</v>
      </c>
      <c r="D33">
        <v>27</v>
      </c>
      <c r="E33" s="2">
        <v>188.05950000000001</v>
      </c>
      <c r="F33" s="2">
        <v>5.1180750000000002</v>
      </c>
      <c r="G33">
        <f t="shared" si="0"/>
        <v>2.7215189873417721E-2</v>
      </c>
      <c r="H33">
        <v>56.417850000000001</v>
      </c>
      <c r="I33">
        <f t="shared" si="1"/>
        <v>0.3</v>
      </c>
      <c r="J33">
        <v>9.2456999999999994</v>
      </c>
      <c r="K33">
        <v>1</v>
      </c>
      <c r="L33" t="b">
        <v>1</v>
      </c>
      <c r="M33" t="s">
        <v>64</v>
      </c>
      <c r="N33">
        <v>100</v>
      </c>
    </row>
    <row r="34" spans="1:14" x14ac:dyDescent="0.3">
      <c r="A34">
        <v>33</v>
      </c>
      <c r="B34" t="s">
        <v>182</v>
      </c>
      <c r="C34">
        <v>25</v>
      </c>
      <c r="D34">
        <v>28</v>
      </c>
      <c r="E34" s="2">
        <v>247.96879999999999</v>
      </c>
      <c r="F34" s="2">
        <v>6.7844249999999997</v>
      </c>
      <c r="G34">
        <f t="shared" si="0"/>
        <v>2.7359994483176917E-2</v>
      </c>
      <c r="H34">
        <v>74.390630000000002</v>
      </c>
      <c r="I34">
        <f t="shared" si="1"/>
        <v>0.29999995967234588</v>
      </c>
      <c r="J34">
        <v>9.2479999999999993</v>
      </c>
      <c r="K34">
        <v>1</v>
      </c>
      <c r="L34" t="b">
        <v>1</v>
      </c>
      <c r="M34" t="s">
        <v>64</v>
      </c>
      <c r="N34">
        <v>100</v>
      </c>
    </row>
    <row r="35" spans="1:14" x14ac:dyDescent="0.3">
      <c r="A35">
        <v>34</v>
      </c>
      <c r="B35" t="s">
        <v>183</v>
      </c>
      <c r="C35">
        <v>27</v>
      </c>
      <c r="D35">
        <v>28</v>
      </c>
      <c r="E35" s="2">
        <v>59.90925</v>
      </c>
      <c r="F35" s="2">
        <v>1.66635</v>
      </c>
      <c r="G35">
        <f t="shared" si="0"/>
        <v>2.781456953642384E-2</v>
      </c>
      <c r="H35">
        <v>17.972770000000001</v>
      </c>
      <c r="I35">
        <f t="shared" si="1"/>
        <v>0.29999991654043406</v>
      </c>
      <c r="J35">
        <v>9.2627000000000006</v>
      </c>
      <c r="K35">
        <v>1</v>
      </c>
      <c r="L35" t="b">
        <v>1</v>
      </c>
      <c r="M35" t="s">
        <v>64</v>
      </c>
      <c r="N35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9FE10-93D4-42B8-B2EA-537D23A015D1}">
  <dimension ref="A1:H40"/>
  <sheetViews>
    <sheetView workbookViewId="0">
      <selection activeCell="E6" sqref="E6"/>
    </sheetView>
  </sheetViews>
  <sheetFormatPr defaultRowHeight="14.4" x14ac:dyDescent="0.3"/>
  <sheetData>
    <row r="1" spans="1:8" x14ac:dyDescent="0.3">
      <c r="A1" t="s">
        <v>1</v>
      </c>
      <c r="B1" t="s">
        <v>0</v>
      </c>
      <c r="C1" t="s">
        <v>22</v>
      </c>
      <c r="D1" t="s">
        <v>23</v>
      </c>
      <c r="E1" t="s">
        <v>65</v>
      </c>
      <c r="F1" t="s">
        <v>4</v>
      </c>
      <c r="G1" t="s">
        <v>3</v>
      </c>
      <c r="H1" t="s">
        <v>28</v>
      </c>
    </row>
    <row r="2" spans="1:8" x14ac:dyDescent="0.3">
      <c r="A2">
        <v>1</v>
      </c>
      <c r="B2" t="s">
        <v>110</v>
      </c>
      <c r="C2">
        <v>0</v>
      </c>
      <c r="D2">
        <v>0</v>
      </c>
      <c r="E2">
        <v>0</v>
      </c>
      <c r="F2" t="b">
        <v>1</v>
      </c>
      <c r="G2" t="s">
        <v>77</v>
      </c>
      <c r="H2" t="b">
        <v>0</v>
      </c>
    </row>
    <row r="3" spans="1:8" x14ac:dyDescent="0.3">
      <c r="A3">
        <v>2</v>
      </c>
      <c r="B3" t="s">
        <v>66</v>
      </c>
      <c r="C3">
        <v>1</v>
      </c>
      <c r="D3">
        <v>0</v>
      </c>
      <c r="E3">
        <v>0</v>
      </c>
      <c r="F3" t="b">
        <v>1</v>
      </c>
      <c r="G3" t="s">
        <v>77</v>
      </c>
      <c r="H3" t="b">
        <v>0</v>
      </c>
    </row>
    <row r="4" spans="1:8" x14ac:dyDescent="0.3">
      <c r="A4">
        <v>3</v>
      </c>
      <c r="B4" t="s">
        <v>67</v>
      </c>
      <c r="C4">
        <v>2</v>
      </c>
      <c r="D4">
        <v>322</v>
      </c>
      <c r="E4">
        <v>2.4</v>
      </c>
      <c r="F4" t="b">
        <v>1</v>
      </c>
      <c r="G4" t="s">
        <v>77</v>
      </c>
      <c r="H4" t="b">
        <v>0</v>
      </c>
    </row>
    <row r="5" spans="1:8" x14ac:dyDescent="0.3">
      <c r="A5">
        <v>4</v>
      </c>
      <c r="B5" t="s">
        <v>68</v>
      </c>
      <c r="C5">
        <v>3</v>
      </c>
      <c r="D5">
        <v>500</v>
      </c>
      <c r="E5">
        <v>184</v>
      </c>
      <c r="F5" t="b">
        <v>1</v>
      </c>
      <c r="G5" t="s">
        <v>77</v>
      </c>
      <c r="H5" t="b">
        <v>0</v>
      </c>
    </row>
    <row r="6" spans="1:8" x14ac:dyDescent="0.3">
      <c r="A6">
        <v>5</v>
      </c>
      <c r="B6" t="s">
        <v>69</v>
      </c>
      <c r="C6">
        <v>4</v>
      </c>
      <c r="D6">
        <v>0</v>
      </c>
      <c r="E6">
        <v>0</v>
      </c>
      <c r="F6" t="b">
        <v>1</v>
      </c>
      <c r="G6" t="s">
        <v>77</v>
      </c>
      <c r="H6" t="b">
        <v>0</v>
      </c>
    </row>
    <row r="7" spans="1:8" x14ac:dyDescent="0.3">
      <c r="A7">
        <v>6</v>
      </c>
      <c r="B7" t="s">
        <v>70</v>
      </c>
      <c r="C7">
        <v>5</v>
      </c>
      <c r="D7">
        <v>0</v>
      </c>
      <c r="E7">
        <v>0</v>
      </c>
      <c r="F7" t="b">
        <v>1</v>
      </c>
      <c r="G7" t="s">
        <v>77</v>
      </c>
      <c r="H7" t="b">
        <v>0</v>
      </c>
    </row>
    <row r="8" spans="1:8" x14ac:dyDescent="0.3">
      <c r="A8">
        <v>7</v>
      </c>
      <c r="B8" t="s">
        <v>78</v>
      </c>
      <c r="C8">
        <v>6</v>
      </c>
      <c r="D8">
        <v>233.8</v>
      </c>
      <c r="E8">
        <v>84</v>
      </c>
      <c r="F8" t="b">
        <v>1</v>
      </c>
      <c r="G8" t="s">
        <v>77</v>
      </c>
      <c r="H8" t="b">
        <v>0</v>
      </c>
    </row>
    <row r="9" spans="1:8" x14ac:dyDescent="0.3">
      <c r="A9">
        <v>8</v>
      </c>
      <c r="B9" t="s">
        <v>79</v>
      </c>
      <c r="C9">
        <v>7</v>
      </c>
      <c r="D9">
        <v>522</v>
      </c>
      <c r="E9">
        <v>176</v>
      </c>
      <c r="F9" t="b">
        <v>1</v>
      </c>
      <c r="G9" t="s">
        <v>77</v>
      </c>
      <c r="H9" t="b">
        <v>0</v>
      </c>
    </row>
    <row r="10" spans="1:8" x14ac:dyDescent="0.3">
      <c r="A10">
        <v>9</v>
      </c>
      <c r="B10" t="s">
        <v>71</v>
      </c>
      <c r="C10">
        <v>8</v>
      </c>
      <c r="D10">
        <v>0</v>
      </c>
      <c r="E10">
        <v>0</v>
      </c>
      <c r="F10" t="b">
        <v>1</v>
      </c>
      <c r="G10" t="s">
        <v>77</v>
      </c>
      <c r="H10" t="b">
        <v>0</v>
      </c>
    </row>
    <row r="11" spans="1:8" x14ac:dyDescent="0.3">
      <c r="A11">
        <v>10</v>
      </c>
      <c r="B11" t="s">
        <v>72</v>
      </c>
      <c r="C11">
        <v>9</v>
      </c>
      <c r="D11">
        <v>0</v>
      </c>
      <c r="E11">
        <v>0</v>
      </c>
      <c r="F11" t="b">
        <v>1</v>
      </c>
      <c r="G11" t="s">
        <v>77</v>
      </c>
      <c r="H11" t="b">
        <v>0</v>
      </c>
    </row>
    <row r="12" spans="1:8" x14ac:dyDescent="0.3">
      <c r="A12">
        <v>11</v>
      </c>
      <c r="B12" t="s">
        <v>73</v>
      </c>
      <c r="C12">
        <v>10</v>
      </c>
      <c r="D12">
        <v>0</v>
      </c>
      <c r="E12">
        <v>0</v>
      </c>
      <c r="F12" t="b">
        <v>1</v>
      </c>
      <c r="G12" t="s">
        <v>77</v>
      </c>
      <c r="H12" t="b">
        <v>0</v>
      </c>
    </row>
    <row r="13" spans="1:8" x14ac:dyDescent="0.3">
      <c r="A13">
        <v>12</v>
      </c>
      <c r="B13" t="s">
        <v>74</v>
      </c>
      <c r="C13">
        <v>11</v>
      </c>
      <c r="D13">
        <v>7.5</v>
      </c>
      <c r="E13">
        <v>88</v>
      </c>
      <c r="F13" t="b">
        <v>1</v>
      </c>
      <c r="G13" t="s">
        <v>77</v>
      </c>
      <c r="H13" t="b">
        <v>0</v>
      </c>
    </row>
    <row r="14" spans="1:8" x14ac:dyDescent="0.3">
      <c r="A14">
        <v>13</v>
      </c>
      <c r="B14" t="s">
        <v>75</v>
      </c>
      <c r="C14">
        <v>12</v>
      </c>
      <c r="D14">
        <v>0</v>
      </c>
      <c r="E14">
        <v>0</v>
      </c>
      <c r="F14" t="b">
        <v>1</v>
      </c>
      <c r="G14" t="s">
        <v>77</v>
      </c>
      <c r="H14" t="b">
        <v>0</v>
      </c>
    </row>
    <row r="15" spans="1:8" x14ac:dyDescent="0.3">
      <c r="A15">
        <v>14</v>
      </c>
      <c r="B15" t="s">
        <v>76</v>
      </c>
      <c r="C15">
        <v>13</v>
      </c>
      <c r="D15">
        <v>0</v>
      </c>
      <c r="E15">
        <v>0</v>
      </c>
      <c r="F15" t="b">
        <v>1</v>
      </c>
      <c r="G15" t="s">
        <v>77</v>
      </c>
      <c r="H15" t="b">
        <v>0</v>
      </c>
    </row>
    <row r="16" spans="1:8" x14ac:dyDescent="0.3">
      <c r="A16">
        <v>15</v>
      </c>
      <c r="B16" t="s">
        <v>111</v>
      </c>
      <c r="C16">
        <v>14</v>
      </c>
      <c r="D16">
        <v>320</v>
      </c>
      <c r="E16">
        <v>153</v>
      </c>
      <c r="F16" t="b">
        <v>1</v>
      </c>
      <c r="G16" t="s">
        <v>77</v>
      </c>
      <c r="H16" t="b">
        <v>0</v>
      </c>
    </row>
    <row r="17" spans="1:8" x14ac:dyDescent="0.3">
      <c r="A17">
        <v>16</v>
      </c>
      <c r="B17" t="s">
        <v>112</v>
      </c>
      <c r="C17">
        <v>15</v>
      </c>
      <c r="D17">
        <v>329</v>
      </c>
      <c r="E17">
        <v>32.299999999999997</v>
      </c>
      <c r="F17" t="b">
        <v>1</v>
      </c>
      <c r="G17" t="s">
        <v>77</v>
      </c>
      <c r="H17" t="b">
        <v>0</v>
      </c>
    </row>
    <row r="18" spans="1:8" x14ac:dyDescent="0.3">
      <c r="A18">
        <v>17</v>
      </c>
      <c r="B18" t="s">
        <v>113</v>
      </c>
      <c r="C18">
        <v>16</v>
      </c>
      <c r="D18">
        <v>0</v>
      </c>
      <c r="E18">
        <v>0</v>
      </c>
      <c r="F18" t="b">
        <v>1</v>
      </c>
      <c r="G18" t="s">
        <v>77</v>
      </c>
      <c r="H18" t="b">
        <v>0</v>
      </c>
    </row>
    <row r="19" spans="1:8" x14ac:dyDescent="0.3">
      <c r="A19">
        <v>18</v>
      </c>
      <c r="B19" t="s">
        <v>114</v>
      </c>
      <c r="C19">
        <v>17</v>
      </c>
      <c r="D19">
        <v>158</v>
      </c>
      <c r="E19">
        <v>30</v>
      </c>
      <c r="F19" t="b">
        <v>1</v>
      </c>
      <c r="G19" t="s">
        <v>77</v>
      </c>
      <c r="H19" t="b">
        <v>0</v>
      </c>
    </row>
    <row r="20" spans="1:8" x14ac:dyDescent="0.3">
      <c r="A20">
        <v>19</v>
      </c>
      <c r="B20" t="s">
        <v>115</v>
      </c>
      <c r="C20">
        <v>18</v>
      </c>
      <c r="D20">
        <v>0</v>
      </c>
      <c r="E20">
        <v>0</v>
      </c>
      <c r="F20" t="b">
        <v>1</v>
      </c>
      <c r="G20" t="s">
        <v>77</v>
      </c>
      <c r="H20" t="b">
        <v>0</v>
      </c>
    </row>
    <row r="21" spans="1:8" x14ac:dyDescent="0.3">
      <c r="A21">
        <v>20</v>
      </c>
      <c r="B21" t="s">
        <v>116</v>
      </c>
      <c r="C21">
        <v>19</v>
      </c>
      <c r="D21">
        <v>628</v>
      </c>
      <c r="E21">
        <v>103</v>
      </c>
      <c r="F21" t="b">
        <v>1</v>
      </c>
      <c r="G21" t="s">
        <v>77</v>
      </c>
      <c r="H21" t="b">
        <v>0</v>
      </c>
    </row>
    <row r="22" spans="1:8" x14ac:dyDescent="0.3">
      <c r="A22">
        <v>21</v>
      </c>
      <c r="B22" t="s">
        <v>117</v>
      </c>
      <c r="C22">
        <v>20</v>
      </c>
      <c r="D22">
        <v>274</v>
      </c>
      <c r="E22">
        <v>115</v>
      </c>
      <c r="F22" t="b">
        <v>1</v>
      </c>
      <c r="G22" t="s">
        <v>77</v>
      </c>
      <c r="H22" t="b">
        <v>0</v>
      </c>
    </row>
    <row r="23" spans="1:8" x14ac:dyDescent="0.3">
      <c r="A23">
        <v>22</v>
      </c>
      <c r="B23" t="s">
        <v>118</v>
      </c>
      <c r="C23">
        <v>21</v>
      </c>
      <c r="D23">
        <v>0</v>
      </c>
      <c r="E23">
        <v>0</v>
      </c>
      <c r="F23" t="b">
        <v>1</v>
      </c>
      <c r="G23" t="s">
        <v>77</v>
      </c>
      <c r="H23" t="b">
        <v>0</v>
      </c>
    </row>
    <row r="24" spans="1:8" x14ac:dyDescent="0.3">
      <c r="A24">
        <v>23</v>
      </c>
      <c r="B24" t="s">
        <v>119</v>
      </c>
      <c r="C24">
        <v>22</v>
      </c>
      <c r="D24">
        <v>247.5</v>
      </c>
      <c r="E24">
        <v>84.6</v>
      </c>
      <c r="F24" t="b">
        <v>1</v>
      </c>
      <c r="G24" t="s">
        <v>77</v>
      </c>
      <c r="H24" t="b">
        <v>0</v>
      </c>
    </row>
    <row r="25" spans="1:8" x14ac:dyDescent="0.3">
      <c r="A25">
        <v>24</v>
      </c>
      <c r="B25" t="s">
        <v>120</v>
      </c>
      <c r="C25">
        <v>23</v>
      </c>
      <c r="D25">
        <v>308.60000000000002</v>
      </c>
      <c r="E25">
        <v>-92.2</v>
      </c>
      <c r="F25" t="b">
        <v>1</v>
      </c>
      <c r="G25" t="s">
        <v>77</v>
      </c>
      <c r="H25" t="b">
        <v>0</v>
      </c>
    </row>
    <row r="26" spans="1:8" x14ac:dyDescent="0.3">
      <c r="A26">
        <v>25</v>
      </c>
      <c r="B26" t="s">
        <v>121</v>
      </c>
      <c r="C26">
        <v>24</v>
      </c>
      <c r="D26">
        <v>224</v>
      </c>
      <c r="E26">
        <v>47.2</v>
      </c>
      <c r="F26" t="b">
        <v>1</v>
      </c>
      <c r="G26" t="s">
        <v>77</v>
      </c>
      <c r="H26" t="b">
        <v>0</v>
      </c>
    </row>
    <row r="27" spans="1:8" x14ac:dyDescent="0.3">
      <c r="A27">
        <v>26</v>
      </c>
      <c r="B27" t="s">
        <v>122</v>
      </c>
      <c r="C27">
        <v>25</v>
      </c>
      <c r="D27">
        <v>139</v>
      </c>
      <c r="E27">
        <v>17</v>
      </c>
      <c r="F27" t="b">
        <v>1</v>
      </c>
      <c r="G27" t="s">
        <v>77</v>
      </c>
      <c r="H27" t="b">
        <v>0</v>
      </c>
    </row>
    <row r="28" spans="1:8" x14ac:dyDescent="0.3">
      <c r="A28">
        <v>27</v>
      </c>
      <c r="B28" t="s">
        <v>123</v>
      </c>
      <c r="C28">
        <v>26</v>
      </c>
      <c r="D28">
        <v>281</v>
      </c>
      <c r="E28">
        <v>75.5</v>
      </c>
      <c r="F28" t="b">
        <v>1</v>
      </c>
      <c r="G28" t="s">
        <v>77</v>
      </c>
      <c r="H28" t="b">
        <v>0</v>
      </c>
    </row>
    <row r="29" spans="1:8" x14ac:dyDescent="0.3">
      <c r="A29">
        <v>28</v>
      </c>
      <c r="B29" t="s">
        <v>124</v>
      </c>
      <c r="C29">
        <v>27</v>
      </c>
      <c r="D29">
        <v>206</v>
      </c>
      <c r="E29">
        <v>27.6</v>
      </c>
      <c r="F29" t="b">
        <v>1</v>
      </c>
      <c r="G29" t="s">
        <v>77</v>
      </c>
      <c r="H29" t="b">
        <v>0</v>
      </c>
    </row>
    <row r="30" spans="1:8" x14ac:dyDescent="0.3">
      <c r="A30">
        <v>29</v>
      </c>
      <c r="B30" t="s">
        <v>125</v>
      </c>
      <c r="C30">
        <v>28</v>
      </c>
      <c r="D30">
        <v>283.5</v>
      </c>
      <c r="E30">
        <v>26.9</v>
      </c>
      <c r="F30" t="b">
        <v>1</v>
      </c>
      <c r="G30" t="s">
        <v>77</v>
      </c>
      <c r="H30" t="b">
        <v>0</v>
      </c>
    </row>
    <row r="31" spans="1:8" x14ac:dyDescent="0.3">
      <c r="A31">
        <v>30</v>
      </c>
      <c r="B31" t="s">
        <v>126</v>
      </c>
      <c r="C31">
        <v>29</v>
      </c>
      <c r="D31">
        <v>0</v>
      </c>
      <c r="E31">
        <v>0</v>
      </c>
      <c r="F31" t="b">
        <v>1</v>
      </c>
      <c r="G31" t="s">
        <v>77</v>
      </c>
      <c r="H31" t="b">
        <v>0</v>
      </c>
    </row>
    <row r="32" spans="1:8" x14ac:dyDescent="0.3">
      <c r="A32">
        <v>31</v>
      </c>
      <c r="B32" t="s">
        <v>127</v>
      </c>
      <c r="C32">
        <v>30</v>
      </c>
      <c r="D32">
        <v>9.1999999999999993</v>
      </c>
      <c r="E32">
        <v>4.5999999999999996</v>
      </c>
      <c r="F32" t="b">
        <v>1</v>
      </c>
      <c r="G32" t="s">
        <v>77</v>
      </c>
      <c r="H32" t="b">
        <v>0</v>
      </c>
    </row>
    <row r="33" spans="1:8" x14ac:dyDescent="0.3">
      <c r="A33">
        <v>32</v>
      </c>
      <c r="B33" t="s">
        <v>128</v>
      </c>
      <c r="C33">
        <v>31</v>
      </c>
      <c r="D33">
        <v>0</v>
      </c>
      <c r="E33">
        <v>0</v>
      </c>
      <c r="F33" t="b">
        <v>1</v>
      </c>
      <c r="G33" t="s">
        <v>77</v>
      </c>
      <c r="H33" t="b">
        <v>0</v>
      </c>
    </row>
    <row r="34" spans="1:8" x14ac:dyDescent="0.3">
      <c r="A34">
        <v>33</v>
      </c>
      <c r="B34" t="s">
        <v>129</v>
      </c>
      <c r="C34">
        <v>32</v>
      </c>
      <c r="D34">
        <v>0</v>
      </c>
      <c r="E34">
        <v>0</v>
      </c>
      <c r="F34" t="b">
        <v>1</v>
      </c>
      <c r="G34" t="s">
        <v>77</v>
      </c>
      <c r="H34" t="b">
        <v>0</v>
      </c>
    </row>
    <row r="35" spans="1:8" x14ac:dyDescent="0.3">
      <c r="A35">
        <v>34</v>
      </c>
      <c r="B35" t="s">
        <v>130</v>
      </c>
      <c r="C35">
        <v>33</v>
      </c>
      <c r="D35">
        <v>0</v>
      </c>
      <c r="E35">
        <v>0</v>
      </c>
      <c r="F35" t="b">
        <v>1</v>
      </c>
      <c r="G35" t="s">
        <v>77</v>
      </c>
      <c r="H35" t="b">
        <v>0</v>
      </c>
    </row>
    <row r="36" spans="1:8" x14ac:dyDescent="0.3">
      <c r="A36">
        <v>35</v>
      </c>
      <c r="B36" t="s">
        <v>131</v>
      </c>
      <c r="C36">
        <v>34</v>
      </c>
      <c r="D36">
        <v>0</v>
      </c>
      <c r="E36">
        <v>0</v>
      </c>
      <c r="F36" t="b">
        <v>1</v>
      </c>
      <c r="G36" t="s">
        <v>77</v>
      </c>
      <c r="H36" t="b">
        <v>0</v>
      </c>
    </row>
    <row r="37" spans="1:8" x14ac:dyDescent="0.3">
      <c r="A37">
        <v>36</v>
      </c>
      <c r="B37" t="s">
        <v>132</v>
      </c>
      <c r="C37">
        <v>35</v>
      </c>
      <c r="D37">
        <v>0</v>
      </c>
      <c r="E37">
        <v>0</v>
      </c>
      <c r="F37" t="b">
        <v>1</v>
      </c>
      <c r="G37" t="s">
        <v>77</v>
      </c>
      <c r="H37" t="b">
        <v>0</v>
      </c>
    </row>
    <row r="38" spans="1:8" x14ac:dyDescent="0.3">
      <c r="A38">
        <v>37</v>
      </c>
      <c r="B38" t="s">
        <v>133</v>
      </c>
      <c r="C38">
        <v>36</v>
      </c>
      <c r="D38">
        <v>0</v>
      </c>
      <c r="E38">
        <v>0</v>
      </c>
      <c r="F38" t="b">
        <v>1</v>
      </c>
      <c r="G38" t="s">
        <v>77</v>
      </c>
      <c r="H38" t="b">
        <v>0</v>
      </c>
    </row>
    <row r="39" spans="1:8" x14ac:dyDescent="0.3">
      <c r="A39">
        <v>38</v>
      </c>
      <c r="B39" t="s">
        <v>134</v>
      </c>
      <c r="C39">
        <v>37</v>
      </c>
      <c r="D39">
        <v>0</v>
      </c>
      <c r="E39">
        <v>0</v>
      </c>
      <c r="F39" t="b">
        <v>1</v>
      </c>
      <c r="G39" t="s">
        <v>77</v>
      </c>
      <c r="H39" t="b">
        <v>0</v>
      </c>
    </row>
    <row r="40" spans="1:8" x14ac:dyDescent="0.3">
      <c r="A40">
        <v>39</v>
      </c>
      <c r="B40" t="s">
        <v>135</v>
      </c>
      <c r="C40">
        <v>38</v>
      </c>
      <c r="D40">
        <v>1104</v>
      </c>
      <c r="E40">
        <v>250</v>
      </c>
      <c r="F40" t="b">
        <v>1</v>
      </c>
      <c r="G40" t="s">
        <v>77</v>
      </c>
      <c r="H40" t="b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B39E4-F58F-4532-9904-8DD03024B7EB}">
  <dimension ref="A1:K2"/>
  <sheetViews>
    <sheetView workbookViewId="0">
      <selection activeCell="B22" sqref="B22"/>
    </sheetView>
  </sheetViews>
  <sheetFormatPr defaultRowHeight="14.4" x14ac:dyDescent="0.3"/>
  <sheetData>
    <row r="1" spans="1:11" x14ac:dyDescent="0.3">
      <c r="A1" t="s">
        <v>1</v>
      </c>
      <c r="B1" t="s">
        <v>0</v>
      </c>
      <c r="C1" t="s">
        <v>22</v>
      </c>
      <c r="D1" t="s">
        <v>24</v>
      </c>
      <c r="E1" t="s">
        <v>80</v>
      </c>
      <c r="F1" t="s">
        <v>30</v>
      </c>
      <c r="G1" t="s">
        <v>29</v>
      </c>
      <c r="H1" t="s">
        <v>27</v>
      </c>
      <c r="I1" t="s">
        <v>26</v>
      </c>
      <c r="J1" t="s">
        <v>4</v>
      </c>
      <c r="K1" t="s">
        <v>28</v>
      </c>
    </row>
    <row r="2" spans="1:11" x14ac:dyDescent="0.3">
      <c r="A2">
        <v>1</v>
      </c>
      <c r="B2" t="s">
        <v>81</v>
      </c>
      <c r="C2">
        <v>30</v>
      </c>
      <c r="D2">
        <v>0.98199999999999998</v>
      </c>
      <c r="E2">
        <v>0</v>
      </c>
      <c r="F2">
        <v>595</v>
      </c>
      <c r="G2">
        <v>150</v>
      </c>
      <c r="H2">
        <v>490</v>
      </c>
      <c r="I2">
        <v>-210</v>
      </c>
      <c r="J2" t="b">
        <v>1</v>
      </c>
      <c r="K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132A4-B399-4C44-B78B-5470DC3658DF}">
  <dimension ref="A1:H2"/>
  <sheetViews>
    <sheetView workbookViewId="0">
      <selection activeCell="E18" sqref="E18"/>
    </sheetView>
  </sheetViews>
  <sheetFormatPr defaultRowHeight="14.4" x14ac:dyDescent="0.3"/>
  <sheetData>
    <row r="1" spans="1:8" x14ac:dyDescent="0.3">
      <c r="A1" t="s">
        <v>1</v>
      </c>
      <c r="B1" t="s">
        <v>0</v>
      </c>
      <c r="C1" t="s">
        <v>22</v>
      </c>
      <c r="D1" t="s">
        <v>65</v>
      </c>
      <c r="E1" t="s">
        <v>23</v>
      </c>
      <c r="F1" t="s">
        <v>4</v>
      </c>
      <c r="G1" t="s">
        <v>83</v>
      </c>
      <c r="H1" t="s">
        <v>84</v>
      </c>
    </row>
    <row r="2" spans="1:8" x14ac:dyDescent="0.3">
      <c r="A2">
        <v>1</v>
      </c>
      <c r="B2" t="s">
        <v>82</v>
      </c>
      <c r="C2">
        <v>8</v>
      </c>
      <c r="D2">
        <f>17747.2*10^(-6)*(33^2)</f>
        <v>19.326700800000001</v>
      </c>
      <c r="E2">
        <v>0</v>
      </c>
      <c r="F2" t="b">
        <v>1</v>
      </c>
      <c r="G2">
        <v>1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bus</vt:lpstr>
      <vt:lpstr>gen</vt:lpstr>
      <vt:lpstr>trafo</vt:lpstr>
      <vt:lpstr>line</vt:lpstr>
      <vt:lpstr>load</vt:lpstr>
      <vt:lpstr>grid</vt:lpstr>
      <vt:lpstr>shunt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 Hamdan Rivani</dc:creator>
  <cp:lastModifiedBy>Naufal Hamdan Rivani</cp:lastModifiedBy>
  <dcterms:created xsi:type="dcterms:W3CDTF">2026-05-29T22:51:26Z</dcterms:created>
  <dcterms:modified xsi:type="dcterms:W3CDTF">2026-06-02T20:52:46Z</dcterms:modified>
</cp:coreProperties>
</file>